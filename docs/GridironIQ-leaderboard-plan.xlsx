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ate/gridiron/docs/"/>
    </mc:Choice>
  </mc:AlternateContent>
  <xr:revisionPtr revIDLastSave="0" documentId="13_ncr:1_{BF3C4589-4CED-CB40-B483-1D3C9DDADB0A}" xr6:coauthVersionLast="47" xr6:coauthVersionMax="47" xr10:uidLastSave="{00000000-0000-0000-0000-000000000000}"/>
  <bookViews>
    <workbookView xWindow="68960" yWindow="-1920" windowWidth="34400" windowHeight="28200" xr2:uid="{00000000-000D-0000-FFFF-FFFF00000000}"/>
  </bookViews>
  <sheets>
    <sheet name="Proposed Grouping" sheetId="1" r:id="rId1"/>
    <sheet name="Summary" sheetId="2" r:id="rId2"/>
  </sheets>
  <definedNames>
    <definedName name="_xlnm._FilterDatabase" localSheetId="0" hidden="1">'Proposed Grouping'!$A$1:$L$127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" l="1"/>
  <c r="B13" i="2"/>
  <c r="B12" i="2"/>
  <c r="B11" i="2"/>
  <c r="G8" i="2"/>
  <c r="F8" i="2"/>
  <c r="E8" i="2"/>
  <c r="D8" i="2"/>
  <c r="C8" i="2"/>
  <c r="B8" i="2"/>
</calcChain>
</file>

<file path=xl/sharedStrings.xml><?xml version="1.0" encoding="utf-8"?>
<sst xmlns="http://schemas.openxmlformats.org/spreadsheetml/2006/main" count="1177" uniqueCount="316">
  <si>
    <t>Keep?</t>
  </si>
  <si>
    <t>Bucket</t>
  </si>
  <si>
    <t>Sub-group</t>
  </si>
  <si>
    <t>Metric</t>
  </si>
  <si>
    <t>Metric ID</t>
  </si>
  <si>
    <t>Status</t>
  </si>
  <si>
    <t>Source</t>
  </si>
  <si>
    <t>Seasons</t>
  </si>
  <si>
    <t>Positions</t>
  </si>
  <si>
    <t>Claude's drop suggestion</t>
  </si>
  <si>
    <t>Your notes</t>
  </si>
  <si>
    <t>keep</t>
  </si>
  <si>
    <t>FANTASY</t>
  </si>
  <si>
    <t>Passing</t>
  </si>
  <si>
    <t>Expected Interceptions</t>
  </si>
  <si>
    <t>interceptions_exp</t>
  </si>
  <si>
    <t>current</t>
  </si>
  <si>
    <t>existing</t>
  </si>
  <si>
    <t>2009+</t>
  </si>
  <si>
    <t>QB</t>
  </si>
  <si>
    <t>Expected Passing TDs</t>
  </si>
  <si>
    <t>passing_tds_exp</t>
  </si>
  <si>
    <t>Expected Passing Yards</t>
  </si>
  <si>
    <t>passing_yards_exp</t>
  </si>
  <si>
    <t>Expected Completions</t>
  </si>
  <si>
    <t>completions_exp</t>
  </si>
  <si>
    <t>NEW</t>
  </si>
  <si>
    <t>ffopportunity</t>
  </si>
  <si>
    <t>—</t>
  </si>
  <si>
    <t>Expected Passing First Downs</t>
  </si>
  <si>
    <t>passing_first_downs_exp</t>
  </si>
  <si>
    <t>Rushing</t>
  </si>
  <si>
    <t>Expected Rushing TDs</t>
  </si>
  <si>
    <t>rushing_tds_exp</t>
  </si>
  <si>
    <t>RB, QB, WR</t>
  </si>
  <si>
    <t>Expected Rushing Yards</t>
  </si>
  <si>
    <t>rushing_yards_exp</t>
  </si>
  <si>
    <t>Expected Rushing First Downs</t>
  </si>
  <si>
    <t>rushing_first_downs_exp</t>
  </si>
  <si>
    <t>Receiving</t>
  </si>
  <si>
    <t>Expected Receiving TDs</t>
  </si>
  <si>
    <t>receiving_tds_exp</t>
  </si>
  <si>
    <t>WR, TE, RB</t>
  </si>
  <si>
    <t>Expected Receiving Yards</t>
  </si>
  <si>
    <t>receiving_yards_exp</t>
  </si>
  <si>
    <t>Expected Receptions</t>
  </si>
  <si>
    <t>receptions_exp</t>
  </si>
  <si>
    <t>Expected Receiving First Downs</t>
  </si>
  <si>
    <t>receiving_first_downs_exp</t>
  </si>
  <si>
    <t>General</t>
  </si>
  <si>
    <t>Efficiency vs Career</t>
  </si>
  <si>
    <t>efficiency_over_baseline</t>
  </si>
  <si>
    <t>1999+</t>
  </si>
  <si>
    <t>QB, RB, WR, TE</t>
  </si>
  <si>
    <t>DROP</t>
  </si>
  <si>
    <t>Expected 2-Pt Conversions</t>
  </si>
  <si>
    <t>two_point_conv_exp</t>
  </si>
  <si>
    <t>nobody sorts by this</t>
  </si>
  <si>
    <t>Expected Fantasy PPG</t>
  </si>
  <si>
    <t>expected_fantasy_ppg</t>
  </si>
  <si>
    <t>Expected Fantasy Points</t>
  </si>
  <si>
    <t>expected_fantasy_points</t>
  </si>
  <si>
    <t>Expected VORP</t>
  </si>
  <si>
    <t>expected_vorp</t>
  </si>
  <si>
    <t>Expected VORP Per Game</t>
  </si>
  <si>
    <t>expected_vorp_ppg</t>
  </si>
  <si>
    <t>Fantasy PPG</t>
  </si>
  <si>
    <t>fantasy_ppg</t>
  </si>
  <si>
    <t>Fantasy PPG (Half)</t>
  </si>
  <si>
    <t>fantasy_ppg_half</t>
  </si>
  <si>
    <t>superseded by the scoring engine</t>
  </si>
  <si>
    <t>Fantasy PPG (PPR)</t>
  </si>
  <si>
    <t>fantasy_ppg_ppr</t>
  </si>
  <si>
    <t>Fantasy PPG (Std)</t>
  </si>
  <si>
    <t>fantasy_ppg_std</t>
  </si>
  <si>
    <t>Fantasy Points</t>
  </si>
  <si>
    <t>fantasy_points</t>
  </si>
  <si>
    <t>Fantasy Points (Half)</t>
  </si>
  <si>
    <t>fantasy_points_half</t>
  </si>
  <si>
    <t>Fantasy Points (PPR)</t>
  </si>
  <si>
    <t>fantasy_points_ppr</t>
  </si>
  <si>
    <t>Fantasy Points (Std)</t>
  </si>
  <si>
    <t>fantasy_points_std</t>
  </si>
  <si>
    <t>Points Over Expected</t>
  </si>
  <si>
    <t>fantasy_points_over_expected</t>
  </si>
  <si>
    <t>Positive-Regression Index</t>
  </si>
  <si>
    <t>positive_regression_index</t>
  </si>
  <si>
    <t>Replacement Level</t>
  </si>
  <si>
    <t>replacement_ppg</t>
  </si>
  <si>
    <t>one value per position — a header, not a column</t>
  </si>
  <si>
    <t>Replacement Level (Expected)</t>
  </si>
  <si>
    <t>replacement_expected_ppg</t>
  </si>
  <si>
    <t>Sell-High Index</t>
  </si>
  <si>
    <t>sell_high_index</t>
  </si>
  <si>
    <t>TDs Over Expected</t>
  </si>
  <si>
    <t>tds_over_expected</t>
  </si>
  <si>
    <t>VORP Per Game</t>
  </si>
  <si>
    <t>vorp_ppg</t>
  </si>
  <si>
    <t>Value Over Replacement</t>
  </si>
  <si>
    <t>vorp</t>
  </si>
  <si>
    <t>NFL PRODUCTION</t>
  </si>
  <si>
    <t>Aggressiveness (NGS)</t>
  </si>
  <si>
    <t>ngs_pass_aggressiveness</t>
  </si>
  <si>
    <t>NGS</t>
  </si>
  <si>
    <t>2016+</t>
  </si>
  <si>
    <t>Air Yards Differential (NGS)</t>
  </si>
  <si>
    <t>ngs_pass_air_yards_differential</t>
  </si>
  <si>
    <t>Air Yards to Sticks (NGS)</t>
  </si>
  <si>
    <t>ngs_pass_air_yards_to_sticks</t>
  </si>
  <si>
    <t>CPOE</t>
  </si>
  <si>
    <t>cpoe</t>
  </si>
  <si>
    <t>2006+</t>
  </si>
  <si>
    <t>Completed Air Yards (NGS)</t>
  </si>
  <si>
    <t>ngs_pass_completed_air_yards</t>
  </si>
  <si>
    <t>largely implied by Intended AY + Differential</t>
  </si>
  <si>
    <t>Completions</t>
  </si>
  <si>
    <t>completions</t>
  </si>
  <si>
    <t>Expected Completion % (NGS)</t>
  </si>
  <si>
    <t>ngs_pass_expected_completion_pct</t>
  </si>
  <si>
    <t>Intended Air Yards (NGS)</t>
  </si>
  <si>
    <t>ngs_pass_intended_air_yards</t>
  </si>
  <si>
    <t>Interceptions</t>
  </si>
  <si>
    <t>interceptions</t>
  </si>
  <si>
    <t>Passer Rating</t>
  </si>
  <si>
    <t>passer_rating</t>
  </si>
  <si>
    <t>Passing TDs</t>
  </si>
  <si>
    <t>passing_tds</t>
  </si>
  <si>
    <t>Passing Yards</t>
  </si>
  <si>
    <t>passing_yards</t>
  </si>
  <si>
    <t>Time to Throw (NGS)</t>
  </si>
  <si>
    <t>ngs_pass_time_to_throw</t>
  </si>
  <si>
    <t>Bad Throw %</t>
  </si>
  <si>
    <t>bad_throw_rate</t>
  </si>
  <si>
    <t>PFR</t>
  </si>
  <si>
    <t>2018+</t>
  </si>
  <si>
    <t>Drops By Receivers</t>
  </si>
  <si>
    <t>drops_by_receivers</t>
  </si>
  <si>
    <t>Passing First Downs</t>
  </si>
  <si>
    <t>passing_first_downs</t>
  </si>
  <si>
    <t>player_stats ⭐</t>
  </si>
  <si>
    <t>Pressure Rate</t>
  </si>
  <si>
    <t>pressure_rate</t>
  </si>
  <si>
    <t>Sack Fumbles Lost</t>
  </si>
  <si>
    <t>sack_fumbles_lost</t>
  </si>
  <si>
    <t>Sacks Taken</t>
  </si>
  <si>
    <t>sacks_suffered</t>
  </si>
  <si>
    <t>Times Blitzed</t>
  </si>
  <si>
    <t>times_blitzed</t>
  </si>
  <si>
    <t>Carries Over Expected % (NGS)</t>
  </si>
  <si>
    <t>ngs_rush_pct_over_expected</t>
  </si>
  <si>
    <t>RB</t>
  </si>
  <si>
    <t>Expected Rush Yards (NGS)</t>
  </si>
  <si>
    <t>ngs_rush_expected_yards</t>
  </si>
  <si>
    <t>RYOE / Attempt (NGS)</t>
  </si>
  <si>
    <t>ngs_rush_yards_over_expected_per_att</t>
  </si>
  <si>
    <t>Rush Efficiency (NGS)</t>
  </si>
  <si>
    <t>ngs_rush_efficiency</t>
  </si>
  <si>
    <t>Rush Yards Over Expected (NGS)</t>
  </si>
  <si>
    <t>ngs_rush_yards_over_expected</t>
  </si>
  <si>
    <t>Rushing EPA</t>
  </si>
  <si>
    <t>rushing_epa</t>
  </si>
  <si>
    <t>RB, QB</t>
  </si>
  <si>
    <t>Rushing TDs</t>
  </si>
  <si>
    <t>rushing_tds</t>
  </si>
  <si>
    <t>Rushing Yards</t>
  </si>
  <si>
    <t>rushing_yards</t>
  </si>
  <si>
    <t>Stacked Box Rate (NGS)</t>
  </si>
  <si>
    <t>ngs_rush_pct_attempts_eight_defenders</t>
  </si>
  <si>
    <t>Time to Line of Scrimmage (NGS)</t>
  </si>
  <si>
    <t>ngs_rush_time_to_los</t>
  </si>
  <si>
    <t>Broken Tackles (rush)</t>
  </si>
  <si>
    <t>rush_broken_tackles</t>
  </si>
  <si>
    <t>Rush Yards After Contact</t>
  </si>
  <si>
    <t>rush_yards_after_contact</t>
  </si>
  <si>
    <t>Rushing First Downs</t>
  </si>
  <si>
    <t>rushing_first_downs</t>
  </si>
  <si>
    <t>Yards After Contact / Att</t>
  </si>
  <si>
    <t>rush_yac_per_att</t>
  </si>
  <si>
    <t>Catch Rate (NGS)</t>
  </si>
  <si>
    <t>ngs_rec_catch_pct</t>
  </si>
  <si>
    <t>WR, TE</t>
  </si>
  <si>
    <t>Cushion (NGS)</t>
  </si>
  <si>
    <t>ngs_rec_cushion</t>
  </si>
  <si>
    <t>Expected YAC (NGS)</t>
  </si>
  <si>
    <t>ngs_rec_expected_yac</t>
  </si>
  <si>
    <t>RACR</t>
  </si>
  <si>
    <t>racr</t>
  </si>
  <si>
    <t>Receiving EPA</t>
  </si>
  <si>
    <t>receiving_epa</t>
  </si>
  <si>
    <t>Receiving TDs</t>
  </si>
  <si>
    <t>receiving_tds</t>
  </si>
  <si>
    <t>Receiving Yards</t>
  </si>
  <si>
    <t>receiving_yards</t>
  </si>
  <si>
    <t>Receptions</t>
  </si>
  <si>
    <t>receptions</t>
  </si>
  <si>
    <t>Separation (NGS)</t>
  </si>
  <si>
    <t>ngs_rec_separation</t>
  </si>
  <si>
    <t>YAC Over Expected (NGS)</t>
  </si>
  <si>
    <t>ngs_rec_yac_above_expectation</t>
  </si>
  <si>
    <t>Yards After Catch</t>
  </si>
  <si>
    <t>yards_after_catch</t>
  </si>
  <si>
    <t>Yards After Catch (NGS)</t>
  </si>
  <si>
    <t>ngs_rec_yac</t>
  </si>
  <si>
    <t>overlaps our Yards After Catch</t>
  </si>
  <si>
    <t>Yards Per Reception</t>
  </si>
  <si>
    <t>yards_per_reception</t>
  </si>
  <si>
    <t>Yards Per Route Run</t>
  </si>
  <si>
    <t>yards_per_route_run</t>
  </si>
  <si>
    <t>Yards Per Target</t>
  </si>
  <si>
    <t>yards_per_target</t>
  </si>
  <si>
    <t>1999+ (gap)</t>
  </si>
  <si>
    <t>Broken Tackles (rec)</t>
  </si>
  <si>
    <t>rec_broken_tackles</t>
  </si>
  <si>
    <t>Drop %</t>
  </si>
  <si>
    <t>receiving_drop_rate</t>
  </si>
  <si>
    <t>Drops</t>
  </si>
  <si>
    <t>receiving_drops</t>
  </si>
  <si>
    <t>Passer Rating When Targeted</t>
  </si>
  <si>
    <t>passer_rating_when_targeted</t>
  </si>
  <si>
    <t>Receiving First Downs</t>
  </si>
  <si>
    <t>receiving_first_downs</t>
  </si>
  <si>
    <t>EPA</t>
  </si>
  <si>
    <t>epa</t>
  </si>
  <si>
    <t>EPA / Play</t>
  </si>
  <si>
    <t>epa_per_play</t>
  </si>
  <si>
    <t>Fumbles</t>
  </si>
  <si>
    <t>fumbles</t>
  </si>
  <si>
    <t>Fumbles Lost</t>
  </si>
  <si>
    <t>fumbles_lost</t>
  </si>
  <si>
    <t>Total First Downs</t>
  </si>
  <si>
    <t>total_first_downs</t>
  </si>
  <si>
    <t>OPPORTUNITY</t>
  </si>
  <si>
    <t>Attempts</t>
  </si>
  <si>
    <t>attempts</t>
  </si>
  <si>
    <t>Dropbacks</t>
  </si>
  <si>
    <t>dropbacks</t>
  </si>
  <si>
    <t>derived (att + sacks)</t>
  </si>
  <si>
    <t>Carries</t>
  </si>
  <si>
    <t>carries</t>
  </si>
  <si>
    <t>Carries Inside 10</t>
  </si>
  <si>
    <t>rush_att_inside_10</t>
  </si>
  <si>
    <t>Carries Inside 2</t>
  </si>
  <si>
    <t>rush_att_inside_2</t>
  </si>
  <si>
    <t>Carries Inside 5</t>
  </si>
  <si>
    <t>rush_att_inside_5</t>
  </si>
  <si>
    <t>Red Zone Carries</t>
  </si>
  <si>
    <t>red_zone_rush_attempts</t>
  </si>
  <si>
    <t>Red Zone Rush Share</t>
  </si>
  <si>
    <t>red_zone_rush_share</t>
  </si>
  <si>
    <t>Rush Share</t>
  </si>
  <si>
    <t>rush_attempt_share</t>
  </si>
  <si>
    <t>Rush Yards Before Contact</t>
  </si>
  <si>
    <t>rush_yards_before_contact</t>
  </si>
  <si>
    <t>Yards Before Contact / Att</t>
  </si>
  <si>
    <t>rush_ybc_per_att</t>
  </si>
  <si>
    <t>ADOT</t>
  </si>
  <si>
    <t>adot</t>
  </si>
  <si>
    <t>Air Yards</t>
  </si>
  <si>
    <t>air_yards</t>
  </si>
  <si>
    <t>Air Yards Share</t>
  </si>
  <si>
    <t>air_yards_share</t>
  </si>
  <si>
    <t>Air Yards Share (NGS)</t>
  </si>
  <si>
    <t>ngs_rec_pct_share_intended_air_yards</t>
  </si>
  <si>
    <t>duplicate of our Air Yards Share (same call as NGS CPOE/ADOT)</t>
  </si>
  <si>
    <t>Red Zone Targets</t>
  </si>
  <si>
    <t>red_zone_targets</t>
  </si>
  <si>
    <t>Route Participation</t>
  </si>
  <si>
    <t>route_participation</t>
  </si>
  <si>
    <t>Routes Run</t>
  </si>
  <si>
    <t>routes_run</t>
  </si>
  <si>
    <t>Routes Run / Game</t>
  </si>
  <si>
    <t>routes_run_per_game</t>
  </si>
  <si>
    <t>Slot Snaps</t>
  </si>
  <si>
    <t>slot_snaps</t>
  </si>
  <si>
    <t>9999+</t>
  </si>
  <si>
    <t>0 rows, always NULL — no free source</t>
  </si>
  <si>
    <t>Target Share</t>
  </si>
  <si>
    <t>target_share</t>
  </si>
  <si>
    <t>Targets</t>
  </si>
  <si>
    <t>targets</t>
  </si>
  <si>
    <t>Targets Per Route Run</t>
  </si>
  <si>
    <t>targets_per_route_run</t>
  </si>
  <si>
    <t>Unrealized Air Yards</t>
  </si>
  <si>
    <t>unrealized_air_yards</t>
  </si>
  <si>
    <t>WOPR</t>
  </si>
  <si>
    <t>wopr</t>
  </si>
  <si>
    <t>Fantasy Opportunity Rating</t>
  </si>
  <si>
    <t>fantasy_opportunity_rating</t>
  </si>
  <si>
    <t>High-Value Touches / Game</t>
  </si>
  <si>
    <t>high_value_touches_per_game</t>
  </si>
  <si>
    <t>RB, WR, TE</t>
  </si>
  <si>
    <t>Market Share</t>
  </si>
  <si>
    <t>market_share</t>
  </si>
  <si>
    <t>Opportunity Share</t>
  </si>
  <si>
    <t>opportunity_share</t>
  </si>
  <si>
    <t>Snap Count</t>
  </si>
  <si>
    <t>snap_count</t>
  </si>
  <si>
    <t>2013+</t>
  </si>
  <si>
    <t>Snap Share</t>
  </si>
  <si>
    <t>snap_share</t>
  </si>
  <si>
    <t>Touches Per Snap</t>
  </si>
  <si>
    <t>touches_per_snap</t>
  </si>
  <si>
    <t>2013+ (gap)</t>
  </si>
  <si>
    <t>Usage Trend</t>
  </si>
  <si>
    <t>opportunity_trend</t>
  </si>
  <si>
    <t>Proposed leaderboard grouping</t>
  </si>
  <si>
    <t>Three nav groups x four sub-groups. Mark column A on the 'Proposed Grouping' tab as keep / DROP / move, then send it back.</t>
  </si>
  <si>
    <t>Total</t>
  </si>
  <si>
    <t>of which NEW</t>
  </si>
  <si>
    <t>TOTAL</t>
  </si>
  <si>
    <t>Live counts from your markup (update as you edit column A)</t>
  </si>
  <si>
    <t>Kept</t>
  </si>
  <si>
    <t>Dropped</t>
  </si>
  <si>
    <t>To move</t>
  </si>
  <si>
    <t>New metrics kept</t>
  </si>
  <si>
    <t>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</si>
</sst>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rgb="FF1F2430"/>
      <name val="Arial"/>
      <family val="2"/>
    </font>
    <font>
      <b/>
      <sz val="10"/>
      <color rgb="FF1F2430"/>
      <name val="Arial"/>
      <family val="2"/>
    </font>
    <font>
      <b/>
      <sz val="15"/>
      <color rgb="FF1F2430"/>
      <name val="Arial"/>
      <family val="2"/>
    </font>
    <font>
      <i/>
      <sz val="9"/>
      <color rgb="FF6B728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2430"/>
      </patternFill>
    </fill>
    <fill>
      <patternFill patternType="solid">
        <fgColor rgb="FFF5F6F8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DECEA"/>
      </patternFill>
    </fill>
    <fill>
      <patternFill patternType="solid">
        <fgColor rgb="FFFFF8E1"/>
      </patternFill>
    </fill>
    <fill>
      <patternFill patternType="solid">
        <fgColor rgb="FFEDE7F6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rgb="FFD5D8DE"/>
      </left>
      <right style="thin">
        <color rgb="FFD5D8DE"/>
      </right>
      <top style="thin">
        <color rgb="FFD5D8DE"/>
      </top>
      <bottom style="thin">
        <color rgb="FFD5D8DE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vertical="top"/>
    </xf>
    <xf numFmtId="0" fontId="3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2" fillId="5" borderId="1" xfId="0" applyFont="1" applyFill="1" applyBorder="1" applyAlignment="1">
      <alignment vertical="top"/>
    </xf>
    <xf numFmtId="0" fontId="3" fillId="5" borderId="1" xfId="0" applyFont="1" applyFill="1" applyBorder="1" applyAlignment="1">
      <alignment vertical="top"/>
    </xf>
    <xf numFmtId="0" fontId="2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2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/>
    </xf>
    <xf numFmtId="0" fontId="2" fillId="8" borderId="1" xfId="0" applyFont="1" applyFill="1" applyBorder="1" applyAlignment="1">
      <alignment vertical="top"/>
    </xf>
    <xf numFmtId="0" fontId="4" fillId="0" borderId="0" xfId="0" applyFont="1"/>
    <xf numFmtId="0" fontId="1" fillId="2" borderId="1" xfId="0" applyFont="1" applyFill="1" applyBorder="1"/>
    <xf numFmtId="0" fontId="3" fillId="4" borderId="1" xfId="0" applyFont="1" applyFill="1" applyBorder="1"/>
    <xf numFmtId="0" fontId="2" fillId="0" borderId="1" xfId="0" applyFont="1" applyBorder="1"/>
    <xf numFmtId="0" fontId="3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/>
    <xf numFmtId="0" fontId="3" fillId="0" borderId="0" xfId="0" applyFont="1"/>
    <xf numFmtId="0" fontId="2" fillId="0" borderId="0" xfId="0" applyFont="1"/>
    <xf numFmtId="0" fontId="5" fillId="0" borderId="0" xfId="0" applyFont="1"/>
    <xf numFmtId="0" fontId="0" fillId="0" borderId="0" xfId="0"/>
    <xf numFmtId="0" fontId="2" fillId="9" borderId="1" xfId="0" applyFont="1" applyFill="1" applyBorder="1" applyAlignment="1">
      <alignment vertical="top"/>
    </xf>
    <xf numFmtId="0" fontId="3" fillId="9" borderId="1" xfId="0" applyFont="1" applyFill="1" applyBorder="1" applyAlignment="1">
      <alignment vertical="top"/>
    </xf>
    <xf numFmtId="0" fontId="2" fillId="9" borderId="1" xfId="0" applyFont="1" applyFill="1" applyBorder="1" applyAlignment="1">
      <alignment vertical="top" wrapText="1"/>
    </xf>
    <xf numFmtId="0" fontId="0" fillId="9" borderId="0" xfId="0" applyFill="1"/>
    <xf numFmtId="0" fontId="2" fillId="10" borderId="1" xfId="0" applyFont="1" applyFill="1" applyBorder="1" applyAlignment="1">
      <alignment vertical="top"/>
    </xf>
    <xf numFmtId="0" fontId="3" fillId="10" borderId="1" xfId="0" applyFont="1" applyFill="1" applyBorder="1" applyAlignment="1">
      <alignment vertical="top"/>
    </xf>
    <xf numFmtId="0" fontId="2" fillId="10" borderId="1" xfId="0" applyFont="1" applyFill="1" applyBorder="1" applyAlignment="1">
      <alignment vertical="top" wrapText="1"/>
    </xf>
    <xf numFmtId="0" fontId="0" fillId="10" borderId="0" xfId="0" applyFill="1"/>
    <xf numFmtId="0" fontId="2" fillId="11" borderId="1" xfId="0" applyFont="1" applyFill="1" applyBorder="1" applyAlignment="1">
      <alignment vertical="top"/>
    </xf>
    <xf numFmtId="0" fontId="3" fillId="11" borderId="1" xfId="0" applyFont="1" applyFill="1" applyBorder="1" applyAlignment="1">
      <alignment vertical="top"/>
    </xf>
    <xf numFmtId="0" fontId="2" fillId="11" borderId="1" xfId="0" applyFont="1" applyFill="1" applyBorder="1" applyAlignment="1">
      <alignment vertical="top" wrapText="1"/>
    </xf>
    <xf numFmtId="0" fontId="0" fillId="11" borderId="0" xfId="0" applyFill="1"/>
    <xf numFmtId="0" fontId="2" fillId="12" borderId="1" xfId="0" applyFont="1" applyFill="1" applyBorder="1" applyAlignment="1">
      <alignment vertical="top"/>
    </xf>
    <xf numFmtId="0" fontId="3" fillId="12" borderId="1" xfId="0" applyFont="1" applyFill="1" applyBorder="1" applyAlignment="1">
      <alignment vertical="top"/>
    </xf>
    <xf numFmtId="0" fontId="2" fillId="12" borderId="1" xfId="0" applyFont="1" applyFill="1" applyBorder="1" applyAlignment="1">
      <alignment vertical="top" wrapText="1"/>
    </xf>
    <xf numFmtId="0" fontId="0" fillId="1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7"/>
  <sheetViews>
    <sheetView tabSelected="1" zoomScale="117" workbookViewId="0">
      <pane xSplit="3" ySplit="1" topLeftCell="D59" activePane="bottomRight" state="frozen"/>
      <selection pane="topRight"/>
      <selection pane="bottomLeft"/>
      <selection pane="bottomRight" activeCell="E57" sqref="E57"/>
    </sheetView>
  </sheetViews>
  <sheetFormatPr baseColWidth="10" defaultColWidth="8.83203125" defaultRowHeight="15" x14ac:dyDescent="0.2"/>
  <cols>
    <col min="1" max="1" width="9" customWidth="1"/>
    <col min="2" max="2" width="17" customWidth="1"/>
    <col min="3" max="4" width="12" customWidth="1"/>
    <col min="5" max="5" width="34" customWidth="1"/>
    <col min="6" max="6" width="40" customWidth="1"/>
    <col min="7" max="7" width="9" customWidth="1"/>
    <col min="8" max="8" width="20" customWidth="1"/>
    <col min="9" max="9" width="14" customWidth="1"/>
    <col min="10" max="10" width="16" customWidth="1"/>
    <col min="11" max="11" width="46" customWidth="1"/>
    <col min="12" max="12" width="34" customWidth="1"/>
  </cols>
  <sheetData>
    <row r="1" spans="1:12" ht="30" customHeight="1" x14ac:dyDescent="0.2">
      <c r="A1" s="1" t="s">
        <v>0</v>
      </c>
      <c r="B1" s="1" t="s">
        <v>1</v>
      </c>
      <c r="C1" s="1" t="s">
        <v>315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30" customFormat="1" x14ac:dyDescent="0.2">
      <c r="A2" s="27" t="s">
        <v>11</v>
      </c>
      <c r="B2" s="27" t="s">
        <v>12</v>
      </c>
      <c r="C2" s="27" t="s">
        <v>13</v>
      </c>
      <c r="D2" s="27"/>
      <c r="E2" s="28" t="s">
        <v>14</v>
      </c>
      <c r="F2" s="27" t="s">
        <v>15</v>
      </c>
      <c r="G2" s="27" t="s">
        <v>16</v>
      </c>
      <c r="H2" s="27" t="s">
        <v>17</v>
      </c>
      <c r="I2" s="27" t="s">
        <v>18</v>
      </c>
      <c r="J2" s="27" t="s">
        <v>19</v>
      </c>
      <c r="K2" s="29"/>
      <c r="L2" s="29"/>
    </row>
    <row r="3" spans="1:12" s="30" customFormat="1" x14ac:dyDescent="0.2">
      <c r="A3" s="27" t="s">
        <v>11</v>
      </c>
      <c r="B3" s="27" t="s">
        <v>12</v>
      </c>
      <c r="C3" s="27" t="s">
        <v>13</v>
      </c>
      <c r="D3" s="27"/>
      <c r="E3" s="28" t="s">
        <v>20</v>
      </c>
      <c r="F3" s="27" t="s">
        <v>21</v>
      </c>
      <c r="G3" s="27" t="s">
        <v>16</v>
      </c>
      <c r="H3" s="27" t="s">
        <v>17</v>
      </c>
      <c r="I3" s="27" t="s">
        <v>18</v>
      </c>
      <c r="J3" s="27" t="s">
        <v>19</v>
      </c>
      <c r="K3" s="29"/>
      <c r="L3" s="29"/>
    </row>
    <row r="4" spans="1:12" s="30" customFormat="1" x14ac:dyDescent="0.2">
      <c r="A4" s="27" t="s">
        <v>11</v>
      </c>
      <c r="B4" s="27" t="s">
        <v>12</v>
      </c>
      <c r="C4" s="27" t="s">
        <v>13</v>
      </c>
      <c r="D4" s="27"/>
      <c r="E4" s="28" t="s">
        <v>22</v>
      </c>
      <c r="F4" s="27" t="s">
        <v>23</v>
      </c>
      <c r="G4" s="27" t="s">
        <v>16</v>
      </c>
      <c r="H4" s="27" t="s">
        <v>17</v>
      </c>
      <c r="I4" s="27" t="s">
        <v>18</v>
      </c>
      <c r="J4" s="27" t="s">
        <v>19</v>
      </c>
      <c r="K4" s="29"/>
      <c r="L4" s="29"/>
    </row>
    <row r="5" spans="1:12" s="30" customFormat="1" x14ac:dyDescent="0.2">
      <c r="A5" s="27" t="s">
        <v>11</v>
      </c>
      <c r="B5" s="27" t="s">
        <v>12</v>
      </c>
      <c r="C5" s="27" t="s">
        <v>13</v>
      </c>
      <c r="D5" s="27"/>
      <c r="E5" s="28" t="s">
        <v>24</v>
      </c>
      <c r="F5" s="27" t="s">
        <v>25</v>
      </c>
      <c r="G5" s="27" t="s">
        <v>26</v>
      </c>
      <c r="H5" s="27" t="s">
        <v>27</v>
      </c>
      <c r="I5" s="27" t="s">
        <v>18</v>
      </c>
      <c r="J5" s="27" t="s">
        <v>28</v>
      </c>
      <c r="K5" s="29"/>
      <c r="L5" s="29"/>
    </row>
    <row r="6" spans="1:12" s="30" customFormat="1" x14ac:dyDescent="0.2">
      <c r="A6" s="27" t="s">
        <v>11</v>
      </c>
      <c r="B6" s="27" t="s">
        <v>12</v>
      </c>
      <c r="C6" s="27" t="s">
        <v>13</v>
      </c>
      <c r="D6" s="27"/>
      <c r="E6" s="28" t="s">
        <v>29</v>
      </c>
      <c r="F6" s="27" t="s">
        <v>30</v>
      </c>
      <c r="G6" s="27" t="s">
        <v>26</v>
      </c>
      <c r="H6" s="27" t="s">
        <v>27</v>
      </c>
      <c r="I6" s="27" t="s">
        <v>18</v>
      </c>
      <c r="J6" s="27" t="s">
        <v>28</v>
      </c>
      <c r="K6" s="29"/>
      <c r="L6" s="29"/>
    </row>
    <row r="7" spans="1:12" s="30" customFormat="1" x14ac:dyDescent="0.2">
      <c r="A7" s="27" t="s">
        <v>11</v>
      </c>
      <c r="B7" s="27" t="s">
        <v>12</v>
      </c>
      <c r="C7" s="27" t="s">
        <v>31</v>
      </c>
      <c r="D7" s="27"/>
      <c r="E7" s="28" t="s">
        <v>32</v>
      </c>
      <c r="F7" s="27" t="s">
        <v>33</v>
      </c>
      <c r="G7" s="27" t="s">
        <v>16</v>
      </c>
      <c r="H7" s="27" t="s">
        <v>17</v>
      </c>
      <c r="I7" s="27" t="s">
        <v>18</v>
      </c>
      <c r="J7" s="27" t="s">
        <v>34</v>
      </c>
      <c r="K7" s="29"/>
      <c r="L7" s="29"/>
    </row>
    <row r="8" spans="1:12" s="30" customFormat="1" x14ac:dyDescent="0.2">
      <c r="A8" s="27" t="s">
        <v>11</v>
      </c>
      <c r="B8" s="27" t="s">
        <v>12</v>
      </c>
      <c r="C8" s="27" t="s">
        <v>31</v>
      </c>
      <c r="D8" s="27"/>
      <c r="E8" s="28" t="s">
        <v>35</v>
      </c>
      <c r="F8" s="27" t="s">
        <v>36</v>
      </c>
      <c r="G8" s="27" t="s">
        <v>16</v>
      </c>
      <c r="H8" s="27" t="s">
        <v>17</v>
      </c>
      <c r="I8" s="27" t="s">
        <v>18</v>
      </c>
      <c r="J8" s="27" t="s">
        <v>34</v>
      </c>
      <c r="K8" s="29"/>
      <c r="L8" s="29"/>
    </row>
    <row r="9" spans="1:12" s="30" customFormat="1" x14ac:dyDescent="0.2">
      <c r="A9" s="27" t="s">
        <v>11</v>
      </c>
      <c r="B9" s="27" t="s">
        <v>12</v>
      </c>
      <c r="C9" s="27" t="s">
        <v>31</v>
      </c>
      <c r="D9" s="27"/>
      <c r="E9" s="28" t="s">
        <v>37</v>
      </c>
      <c r="F9" s="27" t="s">
        <v>38</v>
      </c>
      <c r="G9" s="27" t="s">
        <v>26</v>
      </c>
      <c r="H9" s="27" t="s">
        <v>27</v>
      </c>
      <c r="I9" s="27" t="s">
        <v>18</v>
      </c>
      <c r="J9" s="27" t="s">
        <v>28</v>
      </c>
      <c r="K9" s="29"/>
      <c r="L9" s="29"/>
    </row>
    <row r="10" spans="1:12" s="30" customFormat="1" x14ac:dyDescent="0.2">
      <c r="A10" s="27" t="s">
        <v>11</v>
      </c>
      <c r="B10" s="27" t="s">
        <v>12</v>
      </c>
      <c r="C10" s="27" t="s">
        <v>39</v>
      </c>
      <c r="D10" s="27"/>
      <c r="E10" s="28" t="s">
        <v>40</v>
      </c>
      <c r="F10" s="27" t="s">
        <v>41</v>
      </c>
      <c r="G10" s="27" t="s">
        <v>16</v>
      </c>
      <c r="H10" s="27" t="s">
        <v>17</v>
      </c>
      <c r="I10" s="27" t="s">
        <v>18</v>
      </c>
      <c r="J10" s="27" t="s">
        <v>42</v>
      </c>
      <c r="K10" s="29"/>
      <c r="L10" s="29"/>
    </row>
    <row r="11" spans="1:12" s="30" customFormat="1" x14ac:dyDescent="0.2">
      <c r="A11" s="27" t="s">
        <v>11</v>
      </c>
      <c r="B11" s="27" t="s">
        <v>12</v>
      </c>
      <c r="C11" s="27" t="s">
        <v>39</v>
      </c>
      <c r="D11" s="27"/>
      <c r="E11" s="28" t="s">
        <v>43</v>
      </c>
      <c r="F11" s="27" t="s">
        <v>44</v>
      </c>
      <c r="G11" s="27" t="s">
        <v>16</v>
      </c>
      <c r="H11" s="27" t="s">
        <v>17</v>
      </c>
      <c r="I11" s="27" t="s">
        <v>18</v>
      </c>
      <c r="J11" s="27" t="s">
        <v>42</v>
      </c>
      <c r="K11" s="29"/>
      <c r="L11" s="29"/>
    </row>
    <row r="12" spans="1:12" s="30" customFormat="1" x14ac:dyDescent="0.2">
      <c r="A12" s="27" t="s">
        <v>11</v>
      </c>
      <c r="B12" s="27" t="s">
        <v>12</v>
      </c>
      <c r="C12" s="27" t="s">
        <v>39</v>
      </c>
      <c r="D12" s="27"/>
      <c r="E12" s="28" t="s">
        <v>45</v>
      </c>
      <c r="F12" s="27" t="s">
        <v>46</v>
      </c>
      <c r="G12" s="27" t="s">
        <v>16</v>
      </c>
      <c r="H12" s="27" t="s">
        <v>17</v>
      </c>
      <c r="I12" s="27" t="s">
        <v>18</v>
      </c>
      <c r="J12" s="27" t="s">
        <v>42</v>
      </c>
      <c r="K12" s="29"/>
      <c r="L12" s="29"/>
    </row>
    <row r="13" spans="1:12" s="30" customFormat="1" x14ac:dyDescent="0.2">
      <c r="A13" s="27" t="s">
        <v>11</v>
      </c>
      <c r="B13" s="27" t="s">
        <v>12</v>
      </c>
      <c r="C13" s="27" t="s">
        <v>39</v>
      </c>
      <c r="D13" s="27"/>
      <c r="E13" s="28" t="s">
        <v>47</v>
      </c>
      <c r="F13" s="27" t="s">
        <v>48</v>
      </c>
      <c r="G13" s="27" t="s">
        <v>26</v>
      </c>
      <c r="H13" s="27" t="s">
        <v>27</v>
      </c>
      <c r="I13" s="27" t="s">
        <v>18</v>
      </c>
      <c r="J13" s="27" t="s">
        <v>28</v>
      </c>
      <c r="K13" s="29"/>
      <c r="L13" s="29"/>
    </row>
    <row r="14" spans="1:12" s="30" customFormat="1" x14ac:dyDescent="0.2">
      <c r="A14" s="27" t="s">
        <v>11</v>
      </c>
      <c r="B14" s="27" t="s">
        <v>12</v>
      </c>
      <c r="C14" s="27" t="s">
        <v>49</v>
      </c>
      <c r="D14" s="27"/>
      <c r="E14" s="28" t="s">
        <v>50</v>
      </c>
      <c r="F14" s="27" t="s">
        <v>51</v>
      </c>
      <c r="G14" s="27" t="s">
        <v>16</v>
      </c>
      <c r="H14" s="27" t="s">
        <v>17</v>
      </c>
      <c r="I14" s="27" t="s">
        <v>52</v>
      </c>
      <c r="J14" s="27" t="s">
        <v>53</v>
      </c>
      <c r="K14" s="29"/>
      <c r="L14" s="29"/>
    </row>
    <row r="15" spans="1:12" s="34" customFormat="1" x14ac:dyDescent="0.2">
      <c r="A15" s="31" t="s">
        <v>54</v>
      </c>
      <c r="B15" s="31" t="s">
        <v>12</v>
      </c>
      <c r="C15" s="31" t="s">
        <v>49</v>
      </c>
      <c r="D15" s="31"/>
      <c r="E15" s="32" t="s">
        <v>55</v>
      </c>
      <c r="F15" s="31" t="s">
        <v>56</v>
      </c>
      <c r="G15" s="31" t="s">
        <v>16</v>
      </c>
      <c r="H15" s="31" t="s">
        <v>17</v>
      </c>
      <c r="I15" s="31" t="s">
        <v>18</v>
      </c>
      <c r="J15" s="31" t="s">
        <v>53</v>
      </c>
      <c r="K15" s="33" t="s">
        <v>57</v>
      </c>
      <c r="L15" s="33"/>
    </row>
    <row r="16" spans="1:12" s="30" customFormat="1" x14ac:dyDescent="0.2">
      <c r="A16" s="27" t="s">
        <v>11</v>
      </c>
      <c r="B16" s="27" t="s">
        <v>12</v>
      </c>
      <c r="C16" s="27" t="s">
        <v>49</v>
      </c>
      <c r="D16" s="27"/>
      <c r="E16" s="28" t="s">
        <v>58</v>
      </c>
      <c r="F16" s="27" t="s">
        <v>59</v>
      </c>
      <c r="G16" s="27" t="s">
        <v>16</v>
      </c>
      <c r="H16" s="27" t="s">
        <v>17</v>
      </c>
      <c r="I16" s="27" t="s">
        <v>18</v>
      </c>
      <c r="J16" s="27" t="s">
        <v>53</v>
      </c>
      <c r="K16" s="29"/>
      <c r="L16" s="29"/>
    </row>
    <row r="17" spans="1:12" s="30" customFormat="1" x14ac:dyDescent="0.2">
      <c r="A17" s="27" t="s">
        <v>11</v>
      </c>
      <c r="B17" s="27" t="s">
        <v>12</v>
      </c>
      <c r="C17" s="27" t="s">
        <v>49</v>
      </c>
      <c r="D17" s="27"/>
      <c r="E17" s="28" t="s">
        <v>60</v>
      </c>
      <c r="F17" s="27" t="s">
        <v>61</v>
      </c>
      <c r="G17" s="27" t="s">
        <v>16</v>
      </c>
      <c r="H17" s="27" t="s">
        <v>17</v>
      </c>
      <c r="I17" s="27" t="s">
        <v>18</v>
      </c>
      <c r="J17" s="27" t="s">
        <v>53</v>
      </c>
      <c r="K17" s="29"/>
      <c r="L17" s="29"/>
    </row>
    <row r="18" spans="1:12" s="38" customFormat="1" x14ac:dyDescent="0.2">
      <c r="A18" s="35" t="s">
        <v>11</v>
      </c>
      <c r="B18" s="35" t="s">
        <v>12</v>
      </c>
      <c r="C18" s="35" t="s">
        <v>49</v>
      </c>
      <c r="D18" s="35"/>
      <c r="E18" s="36" t="s">
        <v>62</v>
      </c>
      <c r="F18" s="35" t="s">
        <v>63</v>
      </c>
      <c r="G18" s="35" t="s">
        <v>16</v>
      </c>
      <c r="H18" s="35" t="s">
        <v>17</v>
      </c>
      <c r="I18" s="35" t="s">
        <v>18</v>
      </c>
      <c r="J18" s="35" t="s">
        <v>53</v>
      </c>
      <c r="K18" s="37"/>
      <c r="L18" s="37"/>
    </row>
    <row r="19" spans="1:12" s="38" customFormat="1" x14ac:dyDescent="0.2">
      <c r="A19" s="35" t="s">
        <v>11</v>
      </c>
      <c r="B19" s="35" t="s">
        <v>12</v>
      </c>
      <c r="C19" s="35" t="s">
        <v>49</v>
      </c>
      <c r="D19" s="35"/>
      <c r="E19" s="36" t="s">
        <v>64</v>
      </c>
      <c r="F19" s="35" t="s">
        <v>65</v>
      </c>
      <c r="G19" s="35" t="s">
        <v>16</v>
      </c>
      <c r="H19" s="35" t="s">
        <v>17</v>
      </c>
      <c r="I19" s="35" t="s">
        <v>18</v>
      </c>
      <c r="J19" s="35" t="s">
        <v>53</v>
      </c>
      <c r="K19" s="37"/>
      <c r="L19" s="37"/>
    </row>
    <row r="20" spans="1:12" s="30" customFormat="1" x14ac:dyDescent="0.2">
      <c r="A20" s="27" t="s">
        <v>11</v>
      </c>
      <c r="B20" s="27" t="s">
        <v>12</v>
      </c>
      <c r="C20" s="27" t="s">
        <v>49</v>
      </c>
      <c r="D20" s="27"/>
      <c r="E20" s="28" t="s">
        <v>66</v>
      </c>
      <c r="F20" s="27" t="s">
        <v>67</v>
      </c>
      <c r="G20" s="27" t="s">
        <v>16</v>
      </c>
      <c r="H20" s="27" t="s">
        <v>17</v>
      </c>
      <c r="I20" s="27" t="s">
        <v>52</v>
      </c>
      <c r="J20" s="27" t="s">
        <v>53</v>
      </c>
      <c r="K20" s="29"/>
      <c r="L20" s="29"/>
    </row>
    <row r="21" spans="1:12" s="34" customFormat="1" x14ac:dyDescent="0.2">
      <c r="A21" s="31" t="s">
        <v>54</v>
      </c>
      <c r="B21" s="31" t="s">
        <v>12</v>
      </c>
      <c r="C21" s="31" t="s">
        <v>49</v>
      </c>
      <c r="D21" s="31"/>
      <c r="E21" s="32" t="s">
        <v>68</v>
      </c>
      <c r="F21" s="31" t="s">
        <v>69</v>
      </c>
      <c r="G21" s="31" t="s">
        <v>16</v>
      </c>
      <c r="H21" s="31" t="s">
        <v>17</v>
      </c>
      <c r="I21" s="31" t="s">
        <v>52</v>
      </c>
      <c r="J21" s="31" t="s">
        <v>53</v>
      </c>
      <c r="K21" s="33" t="s">
        <v>70</v>
      </c>
      <c r="L21" s="33"/>
    </row>
    <row r="22" spans="1:12" s="34" customFormat="1" x14ac:dyDescent="0.2">
      <c r="A22" s="31" t="s">
        <v>54</v>
      </c>
      <c r="B22" s="31" t="s">
        <v>12</v>
      </c>
      <c r="C22" s="31" t="s">
        <v>49</v>
      </c>
      <c r="D22" s="31"/>
      <c r="E22" s="32" t="s">
        <v>71</v>
      </c>
      <c r="F22" s="31" t="s">
        <v>72</v>
      </c>
      <c r="G22" s="31" t="s">
        <v>16</v>
      </c>
      <c r="H22" s="31" t="s">
        <v>17</v>
      </c>
      <c r="I22" s="31" t="s">
        <v>52</v>
      </c>
      <c r="J22" s="31" t="s">
        <v>53</v>
      </c>
      <c r="K22" s="33" t="s">
        <v>70</v>
      </c>
      <c r="L22" s="33"/>
    </row>
    <row r="23" spans="1:12" s="34" customFormat="1" x14ac:dyDescent="0.2">
      <c r="A23" s="31" t="s">
        <v>54</v>
      </c>
      <c r="B23" s="31" t="s">
        <v>12</v>
      </c>
      <c r="C23" s="31" t="s">
        <v>49</v>
      </c>
      <c r="D23" s="31"/>
      <c r="E23" s="32" t="s">
        <v>73</v>
      </c>
      <c r="F23" s="31" t="s">
        <v>74</v>
      </c>
      <c r="G23" s="31" t="s">
        <v>16</v>
      </c>
      <c r="H23" s="31" t="s">
        <v>17</v>
      </c>
      <c r="I23" s="31" t="s">
        <v>52</v>
      </c>
      <c r="J23" s="31" t="s">
        <v>53</v>
      </c>
      <c r="K23" s="33" t="s">
        <v>70</v>
      </c>
      <c r="L23" s="33"/>
    </row>
    <row r="24" spans="1:12" s="30" customFormat="1" x14ac:dyDescent="0.2">
      <c r="A24" s="27" t="s">
        <v>11</v>
      </c>
      <c r="B24" s="27" t="s">
        <v>12</v>
      </c>
      <c r="C24" s="27" t="s">
        <v>49</v>
      </c>
      <c r="D24" s="27"/>
      <c r="E24" s="28" t="s">
        <v>75</v>
      </c>
      <c r="F24" s="27" t="s">
        <v>76</v>
      </c>
      <c r="G24" s="27" t="s">
        <v>16</v>
      </c>
      <c r="H24" s="27" t="s">
        <v>17</v>
      </c>
      <c r="I24" s="27" t="s">
        <v>52</v>
      </c>
      <c r="J24" s="27" t="s">
        <v>53</v>
      </c>
      <c r="K24" s="29"/>
      <c r="L24" s="29"/>
    </row>
    <row r="25" spans="1:12" s="34" customFormat="1" x14ac:dyDescent="0.2">
      <c r="A25" s="31" t="s">
        <v>54</v>
      </c>
      <c r="B25" s="31" t="s">
        <v>12</v>
      </c>
      <c r="C25" s="31" t="s">
        <v>49</v>
      </c>
      <c r="D25" s="31"/>
      <c r="E25" s="32" t="s">
        <v>77</v>
      </c>
      <c r="F25" s="31" t="s">
        <v>78</v>
      </c>
      <c r="G25" s="31" t="s">
        <v>16</v>
      </c>
      <c r="H25" s="31" t="s">
        <v>17</v>
      </c>
      <c r="I25" s="31" t="s">
        <v>52</v>
      </c>
      <c r="J25" s="31" t="s">
        <v>53</v>
      </c>
      <c r="K25" s="33" t="s">
        <v>70</v>
      </c>
      <c r="L25" s="33"/>
    </row>
    <row r="26" spans="1:12" s="34" customFormat="1" x14ac:dyDescent="0.2">
      <c r="A26" s="31" t="s">
        <v>54</v>
      </c>
      <c r="B26" s="31" t="s">
        <v>12</v>
      </c>
      <c r="C26" s="31" t="s">
        <v>49</v>
      </c>
      <c r="D26" s="31"/>
      <c r="E26" s="32" t="s">
        <v>79</v>
      </c>
      <c r="F26" s="31" t="s">
        <v>80</v>
      </c>
      <c r="G26" s="31" t="s">
        <v>16</v>
      </c>
      <c r="H26" s="31" t="s">
        <v>17</v>
      </c>
      <c r="I26" s="31" t="s">
        <v>52</v>
      </c>
      <c r="J26" s="31" t="s">
        <v>53</v>
      </c>
      <c r="K26" s="33" t="s">
        <v>70</v>
      </c>
      <c r="L26" s="33"/>
    </row>
    <row r="27" spans="1:12" s="34" customFormat="1" x14ac:dyDescent="0.2">
      <c r="A27" s="31" t="s">
        <v>54</v>
      </c>
      <c r="B27" s="31" t="s">
        <v>12</v>
      </c>
      <c r="C27" s="31" t="s">
        <v>49</v>
      </c>
      <c r="D27" s="31"/>
      <c r="E27" s="32" t="s">
        <v>81</v>
      </c>
      <c r="F27" s="31" t="s">
        <v>82</v>
      </c>
      <c r="G27" s="31" t="s">
        <v>16</v>
      </c>
      <c r="H27" s="31" t="s">
        <v>17</v>
      </c>
      <c r="I27" s="31" t="s">
        <v>52</v>
      </c>
      <c r="J27" s="31" t="s">
        <v>53</v>
      </c>
      <c r="K27" s="33" t="s">
        <v>70</v>
      </c>
      <c r="L27" s="33"/>
    </row>
    <row r="28" spans="1:12" s="30" customFormat="1" x14ac:dyDescent="0.2">
      <c r="A28" s="27" t="s">
        <v>11</v>
      </c>
      <c r="B28" s="27" t="s">
        <v>12</v>
      </c>
      <c r="C28" s="27" t="s">
        <v>49</v>
      </c>
      <c r="D28" s="27"/>
      <c r="E28" s="28" t="s">
        <v>83</v>
      </c>
      <c r="F28" s="27" t="s">
        <v>84</v>
      </c>
      <c r="G28" s="27" t="s">
        <v>16</v>
      </c>
      <c r="H28" s="27" t="s">
        <v>17</v>
      </c>
      <c r="I28" s="27" t="s">
        <v>18</v>
      </c>
      <c r="J28" s="27" t="s">
        <v>53</v>
      </c>
      <c r="K28" s="29"/>
      <c r="L28" s="29"/>
    </row>
    <row r="29" spans="1:12" s="38" customFormat="1" x14ac:dyDescent="0.2">
      <c r="A29" s="35" t="s">
        <v>11</v>
      </c>
      <c r="B29" s="35" t="s">
        <v>12</v>
      </c>
      <c r="C29" s="35" t="s">
        <v>49</v>
      </c>
      <c r="D29" s="35"/>
      <c r="E29" s="36" t="s">
        <v>85</v>
      </c>
      <c r="F29" s="35" t="s">
        <v>86</v>
      </c>
      <c r="G29" s="35" t="s">
        <v>16</v>
      </c>
      <c r="H29" s="35" t="s">
        <v>17</v>
      </c>
      <c r="I29" s="35" t="s">
        <v>18</v>
      </c>
      <c r="J29" s="35" t="s">
        <v>53</v>
      </c>
      <c r="K29" s="37"/>
      <c r="L29" s="37"/>
    </row>
    <row r="30" spans="1:12" s="34" customFormat="1" x14ac:dyDescent="0.2">
      <c r="A30" s="31" t="s">
        <v>54</v>
      </c>
      <c r="B30" s="31" t="s">
        <v>12</v>
      </c>
      <c r="C30" s="31" t="s">
        <v>49</v>
      </c>
      <c r="D30" s="31"/>
      <c r="E30" s="32" t="s">
        <v>87</v>
      </c>
      <c r="F30" s="31" t="s">
        <v>88</v>
      </c>
      <c r="G30" s="31" t="s">
        <v>16</v>
      </c>
      <c r="H30" s="31" t="s">
        <v>17</v>
      </c>
      <c r="I30" s="31" t="s">
        <v>52</v>
      </c>
      <c r="J30" s="31" t="s">
        <v>53</v>
      </c>
      <c r="K30" s="33" t="s">
        <v>89</v>
      </c>
      <c r="L30" s="33"/>
    </row>
    <row r="31" spans="1:12" s="34" customFormat="1" x14ac:dyDescent="0.2">
      <c r="A31" s="31" t="s">
        <v>54</v>
      </c>
      <c r="B31" s="31" t="s">
        <v>12</v>
      </c>
      <c r="C31" s="31" t="s">
        <v>49</v>
      </c>
      <c r="D31" s="31"/>
      <c r="E31" s="32" t="s">
        <v>90</v>
      </c>
      <c r="F31" s="31" t="s">
        <v>91</v>
      </c>
      <c r="G31" s="31" t="s">
        <v>16</v>
      </c>
      <c r="H31" s="31" t="s">
        <v>17</v>
      </c>
      <c r="I31" s="31" t="s">
        <v>18</v>
      </c>
      <c r="J31" s="31" t="s">
        <v>53</v>
      </c>
      <c r="K31" s="33" t="s">
        <v>89</v>
      </c>
      <c r="L31" s="33"/>
    </row>
    <row r="32" spans="1:12" s="38" customFormat="1" x14ac:dyDescent="0.2">
      <c r="A32" s="35" t="s">
        <v>11</v>
      </c>
      <c r="B32" s="35" t="s">
        <v>12</v>
      </c>
      <c r="C32" s="35" t="s">
        <v>49</v>
      </c>
      <c r="D32" s="35"/>
      <c r="E32" s="36" t="s">
        <v>92</v>
      </c>
      <c r="F32" s="35" t="s">
        <v>93</v>
      </c>
      <c r="G32" s="35" t="s">
        <v>16</v>
      </c>
      <c r="H32" s="35" t="s">
        <v>17</v>
      </c>
      <c r="I32" s="35" t="s">
        <v>18</v>
      </c>
      <c r="J32" s="35" t="s">
        <v>53</v>
      </c>
      <c r="K32" s="37"/>
      <c r="L32" s="37"/>
    </row>
    <row r="33" spans="1:12" s="38" customFormat="1" x14ac:dyDescent="0.2">
      <c r="A33" s="35" t="s">
        <v>11</v>
      </c>
      <c r="B33" s="35" t="s">
        <v>12</v>
      </c>
      <c r="C33" s="35" t="s">
        <v>49</v>
      </c>
      <c r="D33" s="35"/>
      <c r="E33" s="36" t="s">
        <v>94</v>
      </c>
      <c r="F33" s="35" t="s">
        <v>95</v>
      </c>
      <c r="G33" s="35" t="s">
        <v>16</v>
      </c>
      <c r="H33" s="35" t="s">
        <v>17</v>
      </c>
      <c r="I33" s="35" t="s">
        <v>18</v>
      </c>
      <c r="J33" s="35" t="s">
        <v>53</v>
      </c>
      <c r="K33" s="37"/>
      <c r="L33" s="37"/>
    </row>
    <row r="34" spans="1:12" s="38" customFormat="1" x14ac:dyDescent="0.2">
      <c r="A34" s="35" t="s">
        <v>11</v>
      </c>
      <c r="B34" s="35" t="s">
        <v>12</v>
      </c>
      <c r="C34" s="35" t="s">
        <v>49</v>
      </c>
      <c r="D34" s="35"/>
      <c r="E34" s="36" t="s">
        <v>96</v>
      </c>
      <c r="F34" s="35" t="s">
        <v>97</v>
      </c>
      <c r="G34" s="35" t="s">
        <v>16</v>
      </c>
      <c r="H34" s="35" t="s">
        <v>17</v>
      </c>
      <c r="I34" s="35" t="s">
        <v>52</v>
      </c>
      <c r="J34" s="35" t="s">
        <v>53</v>
      </c>
      <c r="K34" s="37"/>
      <c r="L34" s="37"/>
    </row>
    <row r="35" spans="1:12" s="38" customFormat="1" x14ac:dyDescent="0.2">
      <c r="A35" s="35" t="s">
        <v>11</v>
      </c>
      <c r="B35" s="35" t="s">
        <v>12</v>
      </c>
      <c r="C35" s="35" t="s">
        <v>49</v>
      </c>
      <c r="D35" s="35"/>
      <c r="E35" s="36" t="s">
        <v>98</v>
      </c>
      <c r="F35" s="35" t="s">
        <v>99</v>
      </c>
      <c r="G35" s="35" t="s">
        <v>16</v>
      </c>
      <c r="H35" s="35" t="s">
        <v>17</v>
      </c>
      <c r="I35" s="35" t="s">
        <v>52</v>
      </c>
      <c r="J35" s="35" t="s">
        <v>53</v>
      </c>
      <c r="K35" s="37"/>
      <c r="L35" s="37"/>
    </row>
    <row r="36" spans="1:12" s="30" customFormat="1" x14ac:dyDescent="0.2">
      <c r="A36" s="27" t="s">
        <v>11</v>
      </c>
      <c r="B36" s="27" t="s">
        <v>100</v>
      </c>
      <c r="C36" s="27" t="s">
        <v>13</v>
      </c>
      <c r="D36" s="27"/>
      <c r="E36" s="28" t="s">
        <v>101</v>
      </c>
      <c r="F36" s="27" t="s">
        <v>102</v>
      </c>
      <c r="G36" s="27" t="s">
        <v>16</v>
      </c>
      <c r="H36" s="27" t="s">
        <v>103</v>
      </c>
      <c r="I36" s="27" t="s">
        <v>104</v>
      </c>
      <c r="J36" s="27" t="s">
        <v>19</v>
      </c>
      <c r="K36" s="29"/>
      <c r="L36" s="29"/>
    </row>
    <row r="37" spans="1:12" s="30" customFormat="1" x14ac:dyDescent="0.2">
      <c r="A37" s="27" t="s">
        <v>11</v>
      </c>
      <c r="B37" s="27" t="s">
        <v>100</v>
      </c>
      <c r="C37" s="27" t="s">
        <v>13</v>
      </c>
      <c r="D37" s="27"/>
      <c r="E37" s="28" t="s">
        <v>105</v>
      </c>
      <c r="F37" s="27" t="s">
        <v>106</v>
      </c>
      <c r="G37" s="27" t="s">
        <v>16</v>
      </c>
      <c r="H37" s="27" t="s">
        <v>103</v>
      </c>
      <c r="I37" s="27" t="s">
        <v>104</v>
      </c>
      <c r="J37" s="27" t="s">
        <v>19</v>
      </c>
      <c r="K37" s="29"/>
      <c r="L37" s="29"/>
    </row>
    <row r="38" spans="1:12" s="30" customFormat="1" x14ac:dyDescent="0.2">
      <c r="A38" s="27" t="s">
        <v>11</v>
      </c>
      <c r="B38" s="27" t="s">
        <v>100</v>
      </c>
      <c r="C38" s="27" t="s">
        <v>13</v>
      </c>
      <c r="D38" s="27"/>
      <c r="E38" s="28" t="s">
        <v>107</v>
      </c>
      <c r="F38" s="27" t="s">
        <v>108</v>
      </c>
      <c r="G38" s="27" t="s">
        <v>16</v>
      </c>
      <c r="H38" s="27" t="s">
        <v>103</v>
      </c>
      <c r="I38" s="27" t="s">
        <v>104</v>
      </c>
      <c r="J38" s="27" t="s">
        <v>19</v>
      </c>
      <c r="K38" s="29"/>
      <c r="L38" s="29"/>
    </row>
    <row r="39" spans="1:12" s="30" customFormat="1" x14ac:dyDescent="0.2">
      <c r="A39" s="27" t="s">
        <v>11</v>
      </c>
      <c r="B39" s="27" t="s">
        <v>100</v>
      </c>
      <c r="C39" s="27" t="s">
        <v>13</v>
      </c>
      <c r="D39" s="27"/>
      <c r="E39" s="28" t="s">
        <v>109</v>
      </c>
      <c r="F39" s="27" t="s">
        <v>110</v>
      </c>
      <c r="G39" s="27" t="s">
        <v>16</v>
      </c>
      <c r="H39" s="27" t="s">
        <v>17</v>
      </c>
      <c r="I39" s="27" t="s">
        <v>111</v>
      </c>
      <c r="J39" s="27" t="s">
        <v>19</v>
      </c>
      <c r="K39" s="29"/>
      <c r="L39" s="29"/>
    </row>
    <row r="40" spans="1:12" s="30" customFormat="1" x14ac:dyDescent="0.2">
      <c r="A40" s="27" t="s">
        <v>54</v>
      </c>
      <c r="B40" s="27" t="s">
        <v>100</v>
      </c>
      <c r="C40" s="27" t="s">
        <v>13</v>
      </c>
      <c r="D40" s="27"/>
      <c r="E40" s="28" t="s">
        <v>112</v>
      </c>
      <c r="F40" s="27" t="s">
        <v>113</v>
      </c>
      <c r="G40" s="27" t="s">
        <v>16</v>
      </c>
      <c r="H40" s="27" t="s">
        <v>103</v>
      </c>
      <c r="I40" s="27" t="s">
        <v>104</v>
      </c>
      <c r="J40" s="27" t="s">
        <v>19</v>
      </c>
      <c r="K40" s="29" t="s">
        <v>114</v>
      </c>
      <c r="L40" s="29"/>
    </row>
    <row r="41" spans="1:12" s="30" customFormat="1" x14ac:dyDescent="0.2">
      <c r="A41" s="27" t="s">
        <v>11</v>
      </c>
      <c r="B41" s="27" t="s">
        <v>100</v>
      </c>
      <c r="C41" s="27" t="s">
        <v>13</v>
      </c>
      <c r="D41" s="27"/>
      <c r="E41" s="28" t="s">
        <v>115</v>
      </c>
      <c r="F41" s="27" t="s">
        <v>116</v>
      </c>
      <c r="G41" s="27" t="s">
        <v>16</v>
      </c>
      <c r="H41" s="27" t="s">
        <v>17</v>
      </c>
      <c r="I41" s="27" t="s">
        <v>52</v>
      </c>
      <c r="J41" s="27" t="s">
        <v>19</v>
      </c>
      <c r="K41" s="29"/>
      <c r="L41" s="29"/>
    </row>
    <row r="42" spans="1:12" s="30" customFormat="1" x14ac:dyDescent="0.2">
      <c r="A42" s="27" t="s">
        <v>11</v>
      </c>
      <c r="B42" s="27" t="s">
        <v>100</v>
      </c>
      <c r="C42" s="27" t="s">
        <v>13</v>
      </c>
      <c r="D42" s="27"/>
      <c r="E42" s="28" t="s">
        <v>117</v>
      </c>
      <c r="F42" s="27" t="s">
        <v>118</v>
      </c>
      <c r="G42" s="27" t="s">
        <v>16</v>
      </c>
      <c r="H42" s="27" t="s">
        <v>103</v>
      </c>
      <c r="I42" s="27" t="s">
        <v>104</v>
      </c>
      <c r="J42" s="27" t="s">
        <v>19</v>
      </c>
      <c r="K42" s="29"/>
      <c r="L42" s="29"/>
    </row>
    <row r="43" spans="1:12" s="30" customFormat="1" x14ac:dyDescent="0.2">
      <c r="A43" s="27" t="s">
        <v>11</v>
      </c>
      <c r="B43" s="27" t="s">
        <v>100</v>
      </c>
      <c r="C43" s="27" t="s">
        <v>13</v>
      </c>
      <c r="D43" s="27"/>
      <c r="E43" s="28" t="s">
        <v>119</v>
      </c>
      <c r="F43" s="27" t="s">
        <v>120</v>
      </c>
      <c r="G43" s="27" t="s">
        <v>16</v>
      </c>
      <c r="H43" s="27" t="s">
        <v>103</v>
      </c>
      <c r="I43" s="27" t="s">
        <v>104</v>
      </c>
      <c r="J43" s="27" t="s">
        <v>19</v>
      </c>
      <c r="K43" s="29"/>
      <c r="L43" s="29"/>
    </row>
    <row r="44" spans="1:12" s="30" customFormat="1" x14ac:dyDescent="0.2">
      <c r="A44" s="27" t="s">
        <v>11</v>
      </c>
      <c r="B44" s="27" t="s">
        <v>100</v>
      </c>
      <c r="C44" s="27" t="s">
        <v>13</v>
      </c>
      <c r="D44" s="27"/>
      <c r="E44" s="28" t="s">
        <v>121</v>
      </c>
      <c r="F44" s="27" t="s">
        <v>122</v>
      </c>
      <c r="G44" s="27" t="s">
        <v>16</v>
      </c>
      <c r="H44" s="27" t="s">
        <v>17</v>
      </c>
      <c r="I44" s="27" t="s">
        <v>52</v>
      </c>
      <c r="J44" s="27" t="s">
        <v>19</v>
      </c>
      <c r="K44" s="29"/>
      <c r="L44" s="29"/>
    </row>
    <row r="45" spans="1:12" s="30" customFormat="1" x14ac:dyDescent="0.2">
      <c r="A45" s="27" t="s">
        <v>11</v>
      </c>
      <c r="B45" s="27" t="s">
        <v>100</v>
      </c>
      <c r="C45" s="27" t="s">
        <v>13</v>
      </c>
      <c r="D45" s="27"/>
      <c r="E45" s="28" t="s">
        <v>123</v>
      </c>
      <c r="F45" s="27" t="s">
        <v>124</v>
      </c>
      <c r="G45" s="27" t="s">
        <v>16</v>
      </c>
      <c r="H45" s="27" t="s">
        <v>17</v>
      </c>
      <c r="I45" s="27" t="s">
        <v>52</v>
      </c>
      <c r="J45" s="27" t="s">
        <v>19</v>
      </c>
      <c r="K45" s="29"/>
      <c r="L45" s="29"/>
    </row>
    <row r="46" spans="1:12" s="30" customFormat="1" x14ac:dyDescent="0.2">
      <c r="A46" s="27" t="s">
        <v>11</v>
      </c>
      <c r="B46" s="27" t="s">
        <v>100</v>
      </c>
      <c r="C46" s="27" t="s">
        <v>13</v>
      </c>
      <c r="D46" s="27"/>
      <c r="E46" s="28" t="s">
        <v>125</v>
      </c>
      <c r="F46" s="27" t="s">
        <v>126</v>
      </c>
      <c r="G46" s="27" t="s">
        <v>16</v>
      </c>
      <c r="H46" s="27" t="s">
        <v>17</v>
      </c>
      <c r="I46" s="27" t="s">
        <v>52</v>
      </c>
      <c r="J46" s="27" t="s">
        <v>19</v>
      </c>
      <c r="K46" s="29"/>
      <c r="L46" s="29"/>
    </row>
    <row r="47" spans="1:12" s="30" customFormat="1" x14ac:dyDescent="0.2">
      <c r="A47" s="27" t="s">
        <v>11</v>
      </c>
      <c r="B47" s="27" t="s">
        <v>100</v>
      </c>
      <c r="C47" s="27" t="s">
        <v>13</v>
      </c>
      <c r="D47" s="27"/>
      <c r="E47" s="28" t="s">
        <v>127</v>
      </c>
      <c r="F47" s="27" t="s">
        <v>128</v>
      </c>
      <c r="G47" s="27" t="s">
        <v>16</v>
      </c>
      <c r="H47" s="27" t="s">
        <v>17</v>
      </c>
      <c r="I47" s="27" t="s">
        <v>52</v>
      </c>
      <c r="J47" s="27" t="s">
        <v>19</v>
      </c>
      <c r="K47" s="29"/>
      <c r="L47" s="29"/>
    </row>
    <row r="48" spans="1:12" s="30" customFormat="1" x14ac:dyDescent="0.2">
      <c r="A48" s="27" t="s">
        <v>11</v>
      </c>
      <c r="B48" s="27" t="s">
        <v>100</v>
      </c>
      <c r="C48" s="27" t="s">
        <v>13</v>
      </c>
      <c r="D48" s="27"/>
      <c r="E48" s="28" t="s">
        <v>129</v>
      </c>
      <c r="F48" s="27" t="s">
        <v>130</v>
      </c>
      <c r="G48" s="27" t="s">
        <v>16</v>
      </c>
      <c r="H48" s="27" t="s">
        <v>103</v>
      </c>
      <c r="I48" s="27" t="s">
        <v>104</v>
      </c>
      <c r="J48" s="27" t="s">
        <v>19</v>
      </c>
      <c r="K48" s="29"/>
      <c r="L48" s="29"/>
    </row>
    <row r="49" spans="1:12" s="30" customFormat="1" x14ac:dyDescent="0.2">
      <c r="A49" s="27" t="s">
        <v>11</v>
      </c>
      <c r="B49" s="27" t="s">
        <v>100</v>
      </c>
      <c r="C49" s="27" t="s">
        <v>13</v>
      </c>
      <c r="D49" s="27"/>
      <c r="E49" s="28" t="s">
        <v>131</v>
      </c>
      <c r="F49" s="27" t="s">
        <v>132</v>
      </c>
      <c r="G49" s="27" t="s">
        <v>26</v>
      </c>
      <c r="H49" s="27" t="s">
        <v>133</v>
      </c>
      <c r="I49" s="27" t="s">
        <v>134</v>
      </c>
      <c r="J49" s="27" t="s">
        <v>28</v>
      </c>
      <c r="K49" s="29"/>
      <c r="L49" s="29"/>
    </row>
    <row r="50" spans="1:12" s="30" customFormat="1" x14ac:dyDescent="0.2">
      <c r="A50" s="27" t="s">
        <v>11</v>
      </c>
      <c r="B50" s="27" t="s">
        <v>100</v>
      </c>
      <c r="C50" s="27" t="s">
        <v>13</v>
      </c>
      <c r="D50" s="27"/>
      <c r="E50" s="28" t="s">
        <v>135</v>
      </c>
      <c r="F50" s="27" t="s">
        <v>136</v>
      </c>
      <c r="G50" s="27" t="s">
        <v>26</v>
      </c>
      <c r="H50" s="27" t="s">
        <v>133</v>
      </c>
      <c r="I50" s="27" t="s">
        <v>134</v>
      </c>
      <c r="J50" s="27" t="s">
        <v>28</v>
      </c>
      <c r="K50" s="29"/>
      <c r="L50" s="29"/>
    </row>
    <row r="51" spans="1:12" s="30" customFormat="1" x14ac:dyDescent="0.2">
      <c r="A51" s="27" t="s">
        <v>11</v>
      </c>
      <c r="B51" s="27" t="s">
        <v>100</v>
      </c>
      <c r="C51" s="27" t="s">
        <v>13</v>
      </c>
      <c r="D51" s="27"/>
      <c r="E51" s="28" t="s">
        <v>137</v>
      </c>
      <c r="F51" s="27" t="s">
        <v>138</v>
      </c>
      <c r="G51" s="27" t="s">
        <v>26</v>
      </c>
      <c r="H51" s="27" t="s">
        <v>139</v>
      </c>
      <c r="I51" s="27" t="s">
        <v>52</v>
      </c>
      <c r="J51" s="27" t="s">
        <v>28</v>
      </c>
      <c r="K51" s="29"/>
      <c r="L51" s="29"/>
    </row>
    <row r="52" spans="1:12" s="30" customFormat="1" x14ac:dyDescent="0.2">
      <c r="A52" s="27" t="s">
        <v>11</v>
      </c>
      <c r="B52" s="27" t="s">
        <v>100</v>
      </c>
      <c r="C52" s="27" t="s">
        <v>13</v>
      </c>
      <c r="D52" s="27"/>
      <c r="E52" s="28" t="s">
        <v>140</v>
      </c>
      <c r="F52" s="27" t="s">
        <v>141</v>
      </c>
      <c r="G52" s="27" t="s">
        <v>26</v>
      </c>
      <c r="H52" s="27" t="s">
        <v>133</v>
      </c>
      <c r="I52" s="27" t="s">
        <v>134</v>
      </c>
      <c r="J52" s="27" t="s">
        <v>28</v>
      </c>
      <c r="K52" s="29"/>
      <c r="L52" s="29"/>
    </row>
    <row r="53" spans="1:12" s="30" customFormat="1" x14ac:dyDescent="0.2">
      <c r="A53" s="27" t="s">
        <v>11</v>
      </c>
      <c r="B53" s="27" t="s">
        <v>100</v>
      </c>
      <c r="C53" s="27" t="s">
        <v>13</v>
      </c>
      <c r="D53" s="27"/>
      <c r="E53" s="28" t="s">
        <v>142</v>
      </c>
      <c r="F53" s="27" t="s">
        <v>143</v>
      </c>
      <c r="G53" s="27" t="s">
        <v>26</v>
      </c>
      <c r="H53" s="27" t="s">
        <v>139</v>
      </c>
      <c r="I53" s="27" t="s">
        <v>52</v>
      </c>
      <c r="J53" s="27" t="s">
        <v>28</v>
      </c>
      <c r="K53" s="29"/>
      <c r="L53" s="29"/>
    </row>
    <row r="54" spans="1:12" s="30" customFormat="1" x14ac:dyDescent="0.2">
      <c r="A54" s="27" t="s">
        <v>11</v>
      </c>
      <c r="B54" s="27" t="s">
        <v>100</v>
      </c>
      <c r="C54" s="27" t="s">
        <v>13</v>
      </c>
      <c r="D54" s="27"/>
      <c r="E54" s="28" t="s">
        <v>144</v>
      </c>
      <c r="F54" s="27" t="s">
        <v>145</v>
      </c>
      <c r="G54" s="27" t="s">
        <v>26</v>
      </c>
      <c r="H54" s="27" t="s">
        <v>139</v>
      </c>
      <c r="I54" s="27" t="s">
        <v>52</v>
      </c>
      <c r="J54" s="27" t="s">
        <v>28</v>
      </c>
      <c r="K54" s="29"/>
      <c r="L54" s="29"/>
    </row>
    <row r="55" spans="1:12" s="30" customFormat="1" x14ac:dyDescent="0.2">
      <c r="A55" s="27" t="s">
        <v>11</v>
      </c>
      <c r="B55" s="27" t="s">
        <v>100</v>
      </c>
      <c r="C55" s="27" t="s">
        <v>13</v>
      </c>
      <c r="D55" s="27"/>
      <c r="E55" s="28" t="s">
        <v>146</v>
      </c>
      <c r="F55" s="27" t="s">
        <v>147</v>
      </c>
      <c r="G55" s="27" t="s">
        <v>26</v>
      </c>
      <c r="H55" s="27" t="s">
        <v>133</v>
      </c>
      <c r="I55" s="27" t="s">
        <v>134</v>
      </c>
      <c r="J55" s="27" t="s">
        <v>28</v>
      </c>
      <c r="K55" s="29"/>
      <c r="L55" s="29"/>
    </row>
    <row r="56" spans="1:12" s="30" customFormat="1" x14ac:dyDescent="0.2">
      <c r="A56" s="27" t="s">
        <v>11</v>
      </c>
      <c r="B56" s="27" t="s">
        <v>100</v>
      </c>
      <c r="C56" s="27" t="s">
        <v>31</v>
      </c>
      <c r="D56" s="27"/>
      <c r="E56" s="28" t="s">
        <v>148</v>
      </c>
      <c r="F56" s="27" t="s">
        <v>149</v>
      </c>
      <c r="G56" s="27" t="s">
        <v>16</v>
      </c>
      <c r="H56" s="27" t="s">
        <v>103</v>
      </c>
      <c r="I56" s="27" t="s">
        <v>104</v>
      </c>
      <c r="J56" s="27" t="s">
        <v>150</v>
      </c>
      <c r="K56" s="29"/>
      <c r="L56" s="29"/>
    </row>
    <row r="57" spans="1:12" s="30" customFormat="1" x14ac:dyDescent="0.2">
      <c r="A57" s="27" t="s">
        <v>11</v>
      </c>
      <c r="B57" s="27" t="s">
        <v>100</v>
      </c>
      <c r="C57" s="27" t="s">
        <v>31</v>
      </c>
      <c r="D57" s="27"/>
      <c r="E57" s="28" t="s">
        <v>151</v>
      </c>
      <c r="F57" s="27" t="s">
        <v>152</v>
      </c>
      <c r="G57" s="27" t="s">
        <v>16</v>
      </c>
      <c r="H57" s="27" t="s">
        <v>103</v>
      </c>
      <c r="I57" s="27" t="s">
        <v>104</v>
      </c>
      <c r="J57" s="27" t="s">
        <v>150</v>
      </c>
      <c r="K57" s="29"/>
      <c r="L57" s="29"/>
    </row>
    <row r="58" spans="1:12" s="30" customFormat="1" x14ac:dyDescent="0.2">
      <c r="A58" s="27" t="s">
        <v>11</v>
      </c>
      <c r="B58" s="27" t="s">
        <v>100</v>
      </c>
      <c r="C58" s="27" t="s">
        <v>31</v>
      </c>
      <c r="D58" s="27"/>
      <c r="E58" s="28" t="s">
        <v>153</v>
      </c>
      <c r="F58" s="27" t="s">
        <v>154</v>
      </c>
      <c r="G58" s="27" t="s">
        <v>16</v>
      </c>
      <c r="H58" s="27" t="s">
        <v>103</v>
      </c>
      <c r="I58" s="27" t="s">
        <v>104</v>
      </c>
      <c r="J58" s="27" t="s">
        <v>150</v>
      </c>
      <c r="K58" s="29"/>
      <c r="L58" s="29"/>
    </row>
    <row r="59" spans="1:12" s="30" customFormat="1" x14ac:dyDescent="0.2">
      <c r="A59" s="27" t="s">
        <v>11</v>
      </c>
      <c r="B59" s="27" t="s">
        <v>100</v>
      </c>
      <c r="C59" s="27" t="s">
        <v>31</v>
      </c>
      <c r="D59" s="27"/>
      <c r="E59" s="28" t="s">
        <v>155</v>
      </c>
      <c r="F59" s="27" t="s">
        <v>156</v>
      </c>
      <c r="G59" s="27" t="s">
        <v>16</v>
      </c>
      <c r="H59" s="27" t="s">
        <v>103</v>
      </c>
      <c r="I59" s="27" t="s">
        <v>104</v>
      </c>
      <c r="J59" s="27" t="s">
        <v>150</v>
      </c>
      <c r="K59" s="29"/>
      <c r="L59" s="29"/>
    </row>
    <row r="60" spans="1:12" s="30" customFormat="1" x14ac:dyDescent="0.2">
      <c r="A60" s="27" t="s">
        <v>11</v>
      </c>
      <c r="B60" s="27" t="s">
        <v>100</v>
      </c>
      <c r="C60" s="27" t="s">
        <v>31</v>
      </c>
      <c r="D60" s="27"/>
      <c r="E60" s="28" t="s">
        <v>157</v>
      </c>
      <c r="F60" s="27" t="s">
        <v>158</v>
      </c>
      <c r="G60" s="27" t="s">
        <v>16</v>
      </c>
      <c r="H60" s="27" t="s">
        <v>103</v>
      </c>
      <c r="I60" s="27" t="s">
        <v>104</v>
      </c>
      <c r="J60" s="27" t="s">
        <v>150</v>
      </c>
      <c r="K60" s="29"/>
      <c r="L60" s="29"/>
    </row>
    <row r="61" spans="1:12" s="30" customFormat="1" x14ac:dyDescent="0.2">
      <c r="A61" s="27" t="s">
        <v>11</v>
      </c>
      <c r="B61" s="27" t="s">
        <v>100</v>
      </c>
      <c r="C61" s="27" t="s">
        <v>31</v>
      </c>
      <c r="D61" s="27"/>
      <c r="E61" s="28" t="s">
        <v>159</v>
      </c>
      <c r="F61" s="27" t="s">
        <v>160</v>
      </c>
      <c r="G61" s="27" t="s">
        <v>16</v>
      </c>
      <c r="H61" s="27" t="s">
        <v>17</v>
      </c>
      <c r="I61" s="27" t="s">
        <v>52</v>
      </c>
      <c r="J61" s="27" t="s">
        <v>161</v>
      </c>
      <c r="K61" s="29"/>
      <c r="L61" s="29"/>
    </row>
    <row r="62" spans="1:12" s="30" customFormat="1" x14ac:dyDescent="0.2">
      <c r="A62" s="27" t="s">
        <v>11</v>
      </c>
      <c r="B62" s="27" t="s">
        <v>100</v>
      </c>
      <c r="C62" s="27" t="s">
        <v>31</v>
      </c>
      <c r="D62" s="27"/>
      <c r="E62" s="28" t="s">
        <v>162</v>
      </c>
      <c r="F62" s="27" t="s">
        <v>163</v>
      </c>
      <c r="G62" s="27" t="s">
        <v>16</v>
      </c>
      <c r="H62" s="27" t="s">
        <v>17</v>
      </c>
      <c r="I62" s="27" t="s">
        <v>52</v>
      </c>
      <c r="J62" s="27" t="s">
        <v>34</v>
      </c>
      <c r="K62" s="29"/>
      <c r="L62" s="29"/>
    </row>
    <row r="63" spans="1:12" s="30" customFormat="1" x14ac:dyDescent="0.2">
      <c r="A63" s="27" t="s">
        <v>11</v>
      </c>
      <c r="B63" s="27" t="s">
        <v>100</v>
      </c>
      <c r="C63" s="27" t="s">
        <v>31</v>
      </c>
      <c r="D63" s="27"/>
      <c r="E63" s="28" t="s">
        <v>164</v>
      </c>
      <c r="F63" s="27" t="s">
        <v>165</v>
      </c>
      <c r="G63" s="27" t="s">
        <v>16</v>
      </c>
      <c r="H63" s="27" t="s">
        <v>17</v>
      </c>
      <c r="I63" s="27" t="s">
        <v>52</v>
      </c>
      <c r="J63" s="27" t="s">
        <v>34</v>
      </c>
      <c r="K63" s="29"/>
      <c r="L63" s="29"/>
    </row>
    <row r="64" spans="1:12" s="30" customFormat="1" x14ac:dyDescent="0.2">
      <c r="A64" s="27" t="s">
        <v>11</v>
      </c>
      <c r="B64" s="27" t="s">
        <v>100</v>
      </c>
      <c r="C64" s="27" t="s">
        <v>31</v>
      </c>
      <c r="D64" s="27"/>
      <c r="E64" s="28" t="s">
        <v>166</v>
      </c>
      <c r="F64" s="27" t="s">
        <v>167</v>
      </c>
      <c r="G64" s="27" t="s">
        <v>16</v>
      </c>
      <c r="H64" s="27" t="s">
        <v>103</v>
      </c>
      <c r="I64" s="27" t="s">
        <v>104</v>
      </c>
      <c r="J64" s="27" t="s">
        <v>150</v>
      </c>
      <c r="K64" s="29"/>
      <c r="L64" s="29"/>
    </row>
    <row r="65" spans="1:12" s="42" customFormat="1" x14ac:dyDescent="0.2">
      <c r="A65" s="39" t="s">
        <v>11</v>
      </c>
      <c r="B65" s="39" t="s">
        <v>100</v>
      </c>
      <c r="C65" s="39" t="s">
        <v>31</v>
      </c>
      <c r="D65" s="39"/>
      <c r="E65" s="40" t="s">
        <v>168</v>
      </c>
      <c r="F65" s="39" t="s">
        <v>169</v>
      </c>
      <c r="G65" s="39" t="s">
        <v>16</v>
      </c>
      <c r="H65" s="39" t="s">
        <v>103</v>
      </c>
      <c r="I65" s="39" t="s">
        <v>104</v>
      </c>
      <c r="J65" s="39" t="s">
        <v>150</v>
      </c>
      <c r="K65" s="41"/>
      <c r="L65" s="41"/>
    </row>
    <row r="66" spans="1:12" s="30" customFormat="1" x14ac:dyDescent="0.2">
      <c r="A66" s="27" t="s">
        <v>11</v>
      </c>
      <c r="B66" s="27" t="s">
        <v>100</v>
      </c>
      <c r="C66" s="27" t="s">
        <v>31</v>
      </c>
      <c r="D66" s="27"/>
      <c r="E66" s="28" t="s">
        <v>170</v>
      </c>
      <c r="F66" s="27" t="s">
        <v>171</v>
      </c>
      <c r="G66" s="27" t="s">
        <v>26</v>
      </c>
      <c r="H66" s="27" t="s">
        <v>133</v>
      </c>
      <c r="I66" s="27" t="s">
        <v>134</v>
      </c>
      <c r="J66" s="27" t="s">
        <v>28</v>
      </c>
      <c r="K66" s="29"/>
      <c r="L66" s="29"/>
    </row>
    <row r="67" spans="1:12" s="30" customFormat="1" x14ac:dyDescent="0.2">
      <c r="A67" s="27" t="s">
        <v>11</v>
      </c>
      <c r="B67" s="27" t="s">
        <v>100</v>
      </c>
      <c r="C67" s="27" t="s">
        <v>31</v>
      </c>
      <c r="D67" s="27"/>
      <c r="E67" s="28" t="s">
        <v>172</v>
      </c>
      <c r="F67" s="27" t="s">
        <v>173</v>
      </c>
      <c r="G67" s="27" t="s">
        <v>26</v>
      </c>
      <c r="H67" s="27" t="s">
        <v>133</v>
      </c>
      <c r="I67" s="27" t="s">
        <v>134</v>
      </c>
      <c r="J67" s="27" t="s">
        <v>28</v>
      </c>
      <c r="K67" s="29"/>
      <c r="L67" s="29"/>
    </row>
    <row r="68" spans="1:12" s="30" customFormat="1" x14ac:dyDescent="0.2">
      <c r="A68" s="27" t="s">
        <v>11</v>
      </c>
      <c r="B68" s="27" t="s">
        <v>100</v>
      </c>
      <c r="C68" s="27" t="s">
        <v>31</v>
      </c>
      <c r="D68" s="27"/>
      <c r="E68" s="28" t="s">
        <v>174</v>
      </c>
      <c r="F68" s="27" t="s">
        <v>175</v>
      </c>
      <c r="G68" s="27" t="s">
        <v>26</v>
      </c>
      <c r="H68" s="27" t="s">
        <v>139</v>
      </c>
      <c r="I68" s="27" t="s">
        <v>52</v>
      </c>
      <c r="J68" s="27" t="s">
        <v>28</v>
      </c>
      <c r="K68" s="29"/>
      <c r="L68" s="29"/>
    </row>
    <row r="69" spans="1:12" s="30" customFormat="1" x14ac:dyDescent="0.2">
      <c r="A69" s="27" t="s">
        <v>11</v>
      </c>
      <c r="B69" s="27" t="s">
        <v>100</v>
      </c>
      <c r="C69" s="27" t="s">
        <v>31</v>
      </c>
      <c r="D69" s="27"/>
      <c r="E69" s="28" t="s">
        <v>176</v>
      </c>
      <c r="F69" s="27" t="s">
        <v>177</v>
      </c>
      <c r="G69" s="27" t="s">
        <v>26</v>
      </c>
      <c r="H69" s="27" t="s">
        <v>133</v>
      </c>
      <c r="I69" s="27" t="s">
        <v>134</v>
      </c>
      <c r="J69" s="27" t="s">
        <v>28</v>
      </c>
      <c r="K69" s="29"/>
      <c r="L69" s="29"/>
    </row>
    <row r="70" spans="1:12" x14ac:dyDescent="0.2">
      <c r="A70" s="2" t="s">
        <v>11</v>
      </c>
      <c r="B70" s="14" t="s">
        <v>100</v>
      </c>
      <c r="C70" s="2" t="s">
        <v>39</v>
      </c>
      <c r="D70" s="2"/>
      <c r="E70" s="3" t="s">
        <v>178</v>
      </c>
      <c r="F70" s="2" t="s">
        <v>179</v>
      </c>
      <c r="G70" s="2" t="s">
        <v>16</v>
      </c>
      <c r="H70" s="2" t="s">
        <v>103</v>
      </c>
      <c r="I70" s="2" t="s">
        <v>104</v>
      </c>
      <c r="J70" s="2" t="s">
        <v>180</v>
      </c>
      <c r="K70" s="4"/>
      <c r="L70" s="4"/>
    </row>
    <row r="71" spans="1:12" x14ac:dyDescent="0.2">
      <c r="A71" s="5" t="s">
        <v>11</v>
      </c>
      <c r="B71" s="14" t="s">
        <v>100</v>
      </c>
      <c r="C71" s="5" t="s">
        <v>39</v>
      </c>
      <c r="D71" s="5"/>
      <c r="E71" s="6" t="s">
        <v>181</v>
      </c>
      <c r="F71" s="5" t="s">
        <v>182</v>
      </c>
      <c r="G71" s="5" t="s">
        <v>16</v>
      </c>
      <c r="H71" s="5" t="s">
        <v>103</v>
      </c>
      <c r="I71" s="5" t="s">
        <v>104</v>
      </c>
      <c r="J71" s="5" t="s">
        <v>180</v>
      </c>
      <c r="K71" s="7"/>
      <c r="L71" s="7"/>
    </row>
    <row r="72" spans="1:12" x14ac:dyDescent="0.2">
      <c r="A72" s="2" t="s">
        <v>11</v>
      </c>
      <c r="B72" s="14" t="s">
        <v>100</v>
      </c>
      <c r="C72" s="2" t="s">
        <v>39</v>
      </c>
      <c r="D72" s="2"/>
      <c r="E72" s="3" t="s">
        <v>183</v>
      </c>
      <c r="F72" s="2" t="s">
        <v>184</v>
      </c>
      <c r="G72" s="2" t="s">
        <v>16</v>
      </c>
      <c r="H72" s="2" t="s">
        <v>103</v>
      </c>
      <c r="I72" s="2" t="s">
        <v>104</v>
      </c>
      <c r="J72" s="2" t="s">
        <v>180</v>
      </c>
      <c r="K72" s="4"/>
      <c r="L72" s="4"/>
    </row>
    <row r="73" spans="1:12" x14ac:dyDescent="0.2">
      <c r="A73" s="5" t="s">
        <v>11</v>
      </c>
      <c r="B73" s="14" t="s">
        <v>100</v>
      </c>
      <c r="C73" s="5" t="s">
        <v>39</v>
      </c>
      <c r="D73" s="5"/>
      <c r="E73" s="6" t="s">
        <v>185</v>
      </c>
      <c r="F73" s="5" t="s">
        <v>186</v>
      </c>
      <c r="G73" s="5" t="s">
        <v>16</v>
      </c>
      <c r="H73" s="5" t="s">
        <v>17</v>
      </c>
      <c r="I73" s="5" t="s">
        <v>18</v>
      </c>
      <c r="J73" s="5" t="s">
        <v>42</v>
      </c>
      <c r="K73" s="7"/>
      <c r="L73" s="7"/>
    </row>
    <row r="74" spans="1:12" s="30" customFormat="1" x14ac:dyDescent="0.2">
      <c r="A74" s="27" t="s">
        <v>11</v>
      </c>
      <c r="B74" s="27" t="s">
        <v>100</v>
      </c>
      <c r="C74" s="27" t="s">
        <v>39</v>
      </c>
      <c r="D74" s="27"/>
      <c r="E74" s="28" t="s">
        <v>187</v>
      </c>
      <c r="F74" s="27" t="s">
        <v>188</v>
      </c>
      <c r="G74" s="27" t="s">
        <v>16</v>
      </c>
      <c r="H74" s="27" t="s">
        <v>17</v>
      </c>
      <c r="I74" s="27" t="s">
        <v>52</v>
      </c>
      <c r="J74" s="27" t="s">
        <v>42</v>
      </c>
      <c r="K74" s="29"/>
      <c r="L74" s="29"/>
    </row>
    <row r="75" spans="1:12" s="30" customFormat="1" x14ac:dyDescent="0.2">
      <c r="A75" s="27" t="s">
        <v>11</v>
      </c>
      <c r="B75" s="27" t="s">
        <v>100</v>
      </c>
      <c r="C75" s="27" t="s">
        <v>39</v>
      </c>
      <c r="D75" s="27"/>
      <c r="E75" s="28" t="s">
        <v>189</v>
      </c>
      <c r="F75" s="27" t="s">
        <v>190</v>
      </c>
      <c r="G75" s="27" t="s">
        <v>16</v>
      </c>
      <c r="H75" s="27" t="s">
        <v>17</v>
      </c>
      <c r="I75" s="27" t="s">
        <v>52</v>
      </c>
      <c r="J75" s="27" t="s">
        <v>42</v>
      </c>
      <c r="K75" s="29"/>
      <c r="L75" s="29"/>
    </row>
    <row r="76" spans="1:12" s="30" customFormat="1" x14ac:dyDescent="0.2">
      <c r="A76" s="27" t="s">
        <v>11</v>
      </c>
      <c r="B76" s="27" t="s">
        <v>100</v>
      </c>
      <c r="C76" s="27" t="s">
        <v>39</v>
      </c>
      <c r="D76" s="27"/>
      <c r="E76" s="28" t="s">
        <v>191</v>
      </c>
      <c r="F76" s="27" t="s">
        <v>192</v>
      </c>
      <c r="G76" s="27" t="s">
        <v>16</v>
      </c>
      <c r="H76" s="27" t="s">
        <v>17</v>
      </c>
      <c r="I76" s="27" t="s">
        <v>52</v>
      </c>
      <c r="J76" s="27" t="s">
        <v>42</v>
      </c>
      <c r="K76" s="29"/>
      <c r="L76" s="29"/>
    </row>
    <row r="77" spans="1:12" x14ac:dyDescent="0.2">
      <c r="A77" s="5" t="s">
        <v>11</v>
      </c>
      <c r="B77" s="14" t="s">
        <v>100</v>
      </c>
      <c r="C77" s="5" t="s">
        <v>39</v>
      </c>
      <c r="D77" s="5"/>
      <c r="E77" s="6" t="s">
        <v>193</v>
      </c>
      <c r="F77" s="5" t="s">
        <v>194</v>
      </c>
      <c r="G77" s="5" t="s">
        <v>16</v>
      </c>
      <c r="H77" s="5" t="s">
        <v>17</v>
      </c>
      <c r="I77" s="5" t="s">
        <v>52</v>
      </c>
      <c r="J77" s="5" t="s">
        <v>42</v>
      </c>
      <c r="K77" s="7"/>
      <c r="L77" s="7"/>
    </row>
    <row r="78" spans="1:12" x14ac:dyDescent="0.2">
      <c r="A78" s="2" t="s">
        <v>11</v>
      </c>
      <c r="B78" s="14" t="s">
        <v>100</v>
      </c>
      <c r="C78" s="2" t="s">
        <v>39</v>
      </c>
      <c r="D78" s="2"/>
      <c r="E78" s="3" t="s">
        <v>195</v>
      </c>
      <c r="F78" s="2" t="s">
        <v>196</v>
      </c>
      <c r="G78" s="2" t="s">
        <v>16</v>
      </c>
      <c r="H78" s="2" t="s">
        <v>103</v>
      </c>
      <c r="I78" s="2" t="s">
        <v>104</v>
      </c>
      <c r="J78" s="2" t="s">
        <v>180</v>
      </c>
      <c r="K78" s="4"/>
      <c r="L78" s="4"/>
    </row>
    <row r="79" spans="1:12" x14ac:dyDescent="0.2">
      <c r="A79" s="5" t="s">
        <v>11</v>
      </c>
      <c r="B79" s="14" t="s">
        <v>100</v>
      </c>
      <c r="C79" s="5" t="s">
        <v>39</v>
      </c>
      <c r="D79" s="5"/>
      <c r="E79" s="6" t="s">
        <v>197</v>
      </c>
      <c r="F79" s="5" t="s">
        <v>198</v>
      </c>
      <c r="G79" s="5" t="s">
        <v>16</v>
      </c>
      <c r="H79" s="5" t="s">
        <v>103</v>
      </c>
      <c r="I79" s="5" t="s">
        <v>104</v>
      </c>
      <c r="J79" s="5" t="s">
        <v>180</v>
      </c>
      <c r="K79" s="7"/>
      <c r="L79" s="7"/>
    </row>
    <row r="80" spans="1:12" x14ac:dyDescent="0.2">
      <c r="A80" s="2" t="s">
        <v>11</v>
      </c>
      <c r="B80" s="14" t="s">
        <v>100</v>
      </c>
      <c r="C80" s="2" t="s">
        <v>39</v>
      </c>
      <c r="D80" s="2"/>
      <c r="E80" s="3" t="s">
        <v>199</v>
      </c>
      <c r="F80" s="2" t="s">
        <v>200</v>
      </c>
      <c r="G80" s="2" t="s">
        <v>16</v>
      </c>
      <c r="H80" s="2" t="s">
        <v>17</v>
      </c>
      <c r="I80" s="2" t="s">
        <v>111</v>
      </c>
      <c r="J80" s="2" t="s">
        <v>42</v>
      </c>
      <c r="K80" s="4"/>
      <c r="L80" s="4"/>
    </row>
    <row r="81" spans="1:12" x14ac:dyDescent="0.2">
      <c r="A81" s="11" t="s">
        <v>54</v>
      </c>
      <c r="B81" s="14" t="s">
        <v>100</v>
      </c>
      <c r="C81" s="11" t="s">
        <v>39</v>
      </c>
      <c r="D81" s="11"/>
      <c r="E81" s="12" t="s">
        <v>201</v>
      </c>
      <c r="F81" s="11" t="s">
        <v>202</v>
      </c>
      <c r="G81" s="11" t="s">
        <v>16</v>
      </c>
      <c r="H81" s="11" t="s">
        <v>103</v>
      </c>
      <c r="I81" s="11" t="s">
        <v>104</v>
      </c>
      <c r="J81" s="11" t="s">
        <v>180</v>
      </c>
      <c r="K81" s="13" t="s">
        <v>203</v>
      </c>
      <c r="L81" s="13"/>
    </row>
    <row r="82" spans="1:12" x14ac:dyDescent="0.2">
      <c r="A82" s="2" t="s">
        <v>11</v>
      </c>
      <c r="B82" s="14" t="s">
        <v>100</v>
      </c>
      <c r="C82" s="2" t="s">
        <v>39</v>
      </c>
      <c r="D82" s="2"/>
      <c r="E82" s="3" t="s">
        <v>204</v>
      </c>
      <c r="F82" s="2" t="s">
        <v>205</v>
      </c>
      <c r="G82" s="2" t="s">
        <v>16</v>
      </c>
      <c r="H82" s="2" t="s">
        <v>17</v>
      </c>
      <c r="I82" s="2" t="s">
        <v>52</v>
      </c>
      <c r="J82" s="2" t="s">
        <v>42</v>
      </c>
      <c r="K82" s="4"/>
      <c r="L82" s="4"/>
    </row>
    <row r="83" spans="1:12" x14ac:dyDescent="0.2">
      <c r="A83" s="5" t="s">
        <v>11</v>
      </c>
      <c r="B83" s="14" t="s">
        <v>100</v>
      </c>
      <c r="C83" s="5" t="s">
        <v>39</v>
      </c>
      <c r="D83" s="5"/>
      <c r="E83" s="6" t="s">
        <v>206</v>
      </c>
      <c r="F83" s="5" t="s">
        <v>207</v>
      </c>
      <c r="G83" s="5" t="s">
        <v>16</v>
      </c>
      <c r="H83" s="5" t="s">
        <v>17</v>
      </c>
      <c r="I83" s="5" t="s">
        <v>104</v>
      </c>
      <c r="J83" s="5" t="s">
        <v>42</v>
      </c>
      <c r="K83" s="7"/>
      <c r="L83" s="7"/>
    </row>
    <row r="84" spans="1:12" x14ac:dyDescent="0.2">
      <c r="A84" s="2" t="s">
        <v>11</v>
      </c>
      <c r="B84" s="14" t="s">
        <v>100</v>
      </c>
      <c r="C84" s="2" t="s">
        <v>39</v>
      </c>
      <c r="D84" s="2"/>
      <c r="E84" s="3" t="s">
        <v>208</v>
      </c>
      <c r="F84" s="2" t="s">
        <v>209</v>
      </c>
      <c r="G84" s="2" t="s">
        <v>16</v>
      </c>
      <c r="H84" s="2" t="s">
        <v>17</v>
      </c>
      <c r="I84" s="2" t="s">
        <v>210</v>
      </c>
      <c r="J84" s="2" t="s">
        <v>42</v>
      </c>
      <c r="K84" s="4"/>
      <c r="L84" s="4"/>
    </row>
    <row r="85" spans="1:12" x14ac:dyDescent="0.2">
      <c r="A85" s="8" t="s">
        <v>11</v>
      </c>
      <c r="B85" s="14" t="s">
        <v>100</v>
      </c>
      <c r="C85" s="8" t="s">
        <v>39</v>
      </c>
      <c r="D85" s="8"/>
      <c r="E85" s="9" t="s">
        <v>211</v>
      </c>
      <c r="F85" s="8" t="s">
        <v>212</v>
      </c>
      <c r="G85" s="8" t="s">
        <v>26</v>
      </c>
      <c r="H85" s="8" t="s">
        <v>133</v>
      </c>
      <c r="I85" s="8" t="s">
        <v>134</v>
      </c>
      <c r="J85" s="8" t="s">
        <v>28</v>
      </c>
      <c r="K85" s="10"/>
      <c r="L85" s="10"/>
    </row>
    <row r="86" spans="1:12" x14ac:dyDescent="0.2">
      <c r="A86" s="8" t="s">
        <v>11</v>
      </c>
      <c r="B86" s="14" t="s">
        <v>100</v>
      </c>
      <c r="C86" s="8" t="s">
        <v>39</v>
      </c>
      <c r="D86" s="8"/>
      <c r="E86" s="9" t="s">
        <v>213</v>
      </c>
      <c r="F86" s="8" t="s">
        <v>214</v>
      </c>
      <c r="G86" s="8" t="s">
        <v>26</v>
      </c>
      <c r="H86" s="8" t="s">
        <v>133</v>
      </c>
      <c r="I86" s="8" t="s">
        <v>134</v>
      </c>
      <c r="J86" s="8" t="s">
        <v>28</v>
      </c>
      <c r="K86" s="10"/>
      <c r="L86" s="10"/>
    </row>
    <row r="87" spans="1:12" x14ac:dyDescent="0.2">
      <c r="A87" s="8" t="s">
        <v>11</v>
      </c>
      <c r="B87" s="14" t="s">
        <v>100</v>
      </c>
      <c r="C87" s="8" t="s">
        <v>39</v>
      </c>
      <c r="D87" s="8"/>
      <c r="E87" s="9" t="s">
        <v>215</v>
      </c>
      <c r="F87" s="8" t="s">
        <v>216</v>
      </c>
      <c r="G87" s="8" t="s">
        <v>26</v>
      </c>
      <c r="H87" s="8" t="s">
        <v>133</v>
      </c>
      <c r="I87" s="8" t="s">
        <v>134</v>
      </c>
      <c r="J87" s="8" t="s">
        <v>28</v>
      </c>
      <c r="K87" s="10"/>
      <c r="L87" s="10"/>
    </row>
    <row r="88" spans="1:12" x14ac:dyDescent="0.2">
      <c r="A88" s="8" t="s">
        <v>11</v>
      </c>
      <c r="B88" s="14" t="s">
        <v>100</v>
      </c>
      <c r="C88" s="8" t="s">
        <v>39</v>
      </c>
      <c r="D88" s="8"/>
      <c r="E88" s="9" t="s">
        <v>217</v>
      </c>
      <c r="F88" s="8" t="s">
        <v>218</v>
      </c>
      <c r="G88" s="8" t="s">
        <v>26</v>
      </c>
      <c r="H88" s="8" t="s">
        <v>133</v>
      </c>
      <c r="I88" s="8" t="s">
        <v>134</v>
      </c>
      <c r="J88" s="8" t="s">
        <v>28</v>
      </c>
      <c r="K88" s="10"/>
      <c r="L88" s="10"/>
    </row>
    <row r="89" spans="1:12" x14ac:dyDescent="0.2">
      <c r="A89" s="8" t="s">
        <v>11</v>
      </c>
      <c r="B89" s="14" t="s">
        <v>100</v>
      </c>
      <c r="C89" s="8" t="s">
        <v>39</v>
      </c>
      <c r="D89" s="8"/>
      <c r="E89" s="9" t="s">
        <v>219</v>
      </c>
      <c r="F89" s="8" t="s">
        <v>220</v>
      </c>
      <c r="G89" s="8" t="s">
        <v>26</v>
      </c>
      <c r="H89" s="8" t="s">
        <v>139</v>
      </c>
      <c r="I89" s="8" t="s">
        <v>52</v>
      </c>
      <c r="J89" s="8" t="s">
        <v>28</v>
      </c>
      <c r="K89" s="10"/>
      <c r="L89" s="10"/>
    </row>
    <row r="90" spans="1:12" s="30" customFormat="1" x14ac:dyDescent="0.2">
      <c r="A90" s="27" t="s">
        <v>11</v>
      </c>
      <c r="B90" s="27" t="s">
        <v>100</v>
      </c>
      <c r="C90" s="27" t="s">
        <v>49</v>
      </c>
      <c r="D90" s="27"/>
      <c r="E90" s="28" t="s">
        <v>221</v>
      </c>
      <c r="F90" s="27" t="s">
        <v>222</v>
      </c>
      <c r="G90" s="27" t="s">
        <v>16</v>
      </c>
      <c r="H90" s="27" t="s">
        <v>17</v>
      </c>
      <c r="I90" s="27" t="s">
        <v>52</v>
      </c>
      <c r="J90" s="27" t="s">
        <v>53</v>
      </c>
      <c r="K90" s="29"/>
      <c r="L90" s="29"/>
    </row>
    <row r="91" spans="1:12" s="30" customFormat="1" x14ac:dyDescent="0.2">
      <c r="A91" s="27" t="s">
        <v>11</v>
      </c>
      <c r="B91" s="27" t="s">
        <v>100</v>
      </c>
      <c r="C91" s="27" t="s">
        <v>49</v>
      </c>
      <c r="D91" s="27"/>
      <c r="E91" s="28" t="s">
        <v>223</v>
      </c>
      <c r="F91" s="27" t="s">
        <v>224</v>
      </c>
      <c r="G91" s="27" t="s">
        <v>16</v>
      </c>
      <c r="H91" s="27" t="s">
        <v>17</v>
      </c>
      <c r="I91" s="27" t="s">
        <v>52</v>
      </c>
      <c r="J91" s="27" t="s">
        <v>53</v>
      </c>
      <c r="K91" s="29"/>
      <c r="L91" s="29"/>
    </row>
    <row r="92" spans="1:12" x14ac:dyDescent="0.2">
      <c r="A92" s="2" t="s">
        <v>11</v>
      </c>
      <c r="B92" s="14" t="s">
        <v>100</v>
      </c>
      <c r="C92" s="2" t="s">
        <v>49</v>
      </c>
      <c r="D92" s="2"/>
      <c r="E92" s="3" t="s">
        <v>225</v>
      </c>
      <c r="F92" s="2" t="s">
        <v>226</v>
      </c>
      <c r="G92" s="2" t="s">
        <v>16</v>
      </c>
      <c r="H92" s="2" t="s">
        <v>17</v>
      </c>
      <c r="I92" s="2" t="s">
        <v>52</v>
      </c>
      <c r="J92" s="2" t="s">
        <v>53</v>
      </c>
      <c r="K92" s="4"/>
      <c r="L92" s="4"/>
    </row>
    <row r="93" spans="1:12" x14ac:dyDescent="0.2">
      <c r="A93" s="5" t="s">
        <v>11</v>
      </c>
      <c r="B93" s="14" t="s">
        <v>100</v>
      </c>
      <c r="C93" s="5" t="s">
        <v>49</v>
      </c>
      <c r="D93" s="5"/>
      <c r="E93" s="6" t="s">
        <v>227</v>
      </c>
      <c r="F93" s="5" t="s">
        <v>228</v>
      </c>
      <c r="G93" s="5" t="s">
        <v>16</v>
      </c>
      <c r="H93" s="5" t="s">
        <v>17</v>
      </c>
      <c r="I93" s="5" t="s">
        <v>52</v>
      </c>
      <c r="J93" s="5" t="s">
        <v>53</v>
      </c>
      <c r="K93" s="7"/>
      <c r="L93" s="7"/>
    </row>
    <row r="94" spans="1:12" x14ac:dyDescent="0.2">
      <c r="A94" s="8" t="s">
        <v>11</v>
      </c>
      <c r="B94" s="14" t="s">
        <v>100</v>
      </c>
      <c r="C94" s="8" t="s">
        <v>49</v>
      </c>
      <c r="D94" s="8"/>
      <c r="E94" s="9" t="s">
        <v>229</v>
      </c>
      <c r="F94" s="8" t="s">
        <v>230</v>
      </c>
      <c r="G94" s="8" t="s">
        <v>26</v>
      </c>
      <c r="H94" s="8" t="s">
        <v>139</v>
      </c>
      <c r="I94" s="8" t="s">
        <v>52</v>
      </c>
      <c r="J94" s="8" t="s">
        <v>28</v>
      </c>
      <c r="K94" s="10"/>
      <c r="L94" s="10"/>
    </row>
    <row r="95" spans="1:12" x14ac:dyDescent="0.2">
      <c r="A95" s="5" t="s">
        <v>11</v>
      </c>
      <c r="B95" s="15" t="s">
        <v>231</v>
      </c>
      <c r="C95" s="5" t="s">
        <v>13</v>
      </c>
      <c r="D95" s="5"/>
      <c r="E95" s="6" t="s">
        <v>232</v>
      </c>
      <c r="F95" s="5" t="s">
        <v>233</v>
      </c>
      <c r="G95" s="5" t="s">
        <v>16</v>
      </c>
      <c r="H95" s="5" t="s">
        <v>17</v>
      </c>
      <c r="I95" s="5" t="s">
        <v>52</v>
      </c>
      <c r="J95" s="5" t="s">
        <v>19</v>
      </c>
      <c r="K95" s="7"/>
      <c r="L95" s="7"/>
    </row>
    <row r="96" spans="1:12" x14ac:dyDescent="0.2">
      <c r="A96" s="8" t="s">
        <v>11</v>
      </c>
      <c r="B96" s="15" t="s">
        <v>231</v>
      </c>
      <c r="C96" s="8" t="s">
        <v>13</v>
      </c>
      <c r="D96" s="8"/>
      <c r="E96" s="9" t="s">
        <v>234</v>
      </c>
      <c r="F96" s="8" t="s">
        <v>235</v>
      </c>
      <c r="G96" s="8" t="s">
        <v>26</v>
      </c>
      <c r="H96" s="8" t="s">
        <v>236</v>
      </c>
      <c r="I96" s="8" t="s">
        <v>52</v>
      </c>
      <c r="J96" s="8" t="s">
        <v>28</v>
      </c>
      <c r="K96" s="10"/>
      <c r="L96" s="10"/>
    </row>
    <row r="97" spans="1:12" x14ac:dyDescent="0.2">
      <c r="A97" s="5" t="s">
        <v>11</v>
      </c>
      <c r="B97" s="15" t="s">
        <v>231</v>
      </c>
      <c r="C97" s="5" t="s">
        <v>31</v>
      </c>
      <c r="D97" s="5"/>
      <c r="E97" s="6" t="s">
        <v>237</v>
      </c>
      <c r="F97" s="5" t="s">
        <v>238</v>
      </c>
      <c r="G97" s="5" t="s">
        <v>16</v>
      </c>
      <c r="H97" s="5" t="s">
        <v>17</v>
      </c>
      <c r="I97" s="5" t="s">
        <v>52</v>
      </c>
      <c r="J97" s="5" t="s">
        <v>34</v>
      </c>
      <c r="K97" s="7"/>
      <c r="L97" s="7"/>
    </row>
    <row r="98" spans="1:12" x14ac:dyDescent="0.2">
      <c r="A98" s="2" t="s">
        <v>11</v>
      </c>
      <c r="B98" s="15" t="s">
        <v>231</v>
      </c>
      <c r="C98" s="2" t="s">
        <v>31</v>
      </c>
      <c r="D98" s="2"/>
      <c r="E98" s="3" t="s">
        <v>239</v>
      </c>
      <c r="F98" s="2" t="s">
        <v>240</v>
      </c>
      <c r="G98" s="2" t="s">
        <v>16</v>
      </c>
      <c r="H98" s="2" t="s">
        <v>17</v>
      </c>
      <c r="I98" s="2" t="s">
        <v>52</v>
      </c>
      <c r="J98" s="2" t="s">
        <v>161</v>
      </c>
      <c r="K98" s="4"/>
      <c r="L98" s="4"/>
    </row>
    <row r="99" spans="1:12" x14ac:dyDescent="0.2">
      <c r="A99" s="5" t="s">
        <v>11</v>
      </c>
      <c r="B99" s="15" t="s">
        <v>231</v>
      </c>
      <c r="C99" s="5" t="s">
        <v>31</v>
      </c>
      <c r="D99" s="5"/>
      <c r="E99" s="6" t="s">
        <v>241</v>
      </c>
      <c r="F99" s="5" t="s">
        <v>242</v>
      </c>
      <c r="G99" s="5" t="s">
        <v>16</v>
      </c>
      <c r="H99" s="5" t="s">
        <v>17</v>
      </c>
      <c r="I99" s="5" t="s">
        <v>52</v>
      </c>
      <c r="J99" s="5" t="s">
        <v>161</v>
      </c>
      <c r="K99" s="7"/>
      <c r="L99" s="7"/>
    </row>
    <row r="100" spans="1:12" x14ac:dyDescent="0.2">
      <c r="A100" s="2" t="s">
        <v>11</v>
      </c>
      <c r="B100" s="15" t="s">
        <v>231</v>
      </c>
      <c r="C100" s="2" t="s">
        <v>31</v>
      </c>
      <c r="D100" s="2"/>
      <c r="E100" s="3" t="s">
        <v>243</v>
      </c>
      <c r="F100" s="2" t="s">
        <v>244</v>
      </c>
      <c r="G100" s="2" t="s">
        <v>16</v>
      </c>
      <c r="H100" s="2" t="s">
        <v>17</v>
      </c>
      <c r="I100" s="2" t="s">
        <v>52</v>
      </c>
      <c r="J100" s="2" t="s">
        <v>161</v>
      </c>
      <c r="K100" s="4"/>
      <c r="L100" s="4"/>
    </row>
    <row r="101" spans="1:12" x14ac:dyDescent="0.2">
      <c r="A101" s="5" t="s">
        <v>11</v>
      </c>
      <c r="B101" s="15" t="s">
        <v>231</v>
      </c>
      <c r="C101" s="5" t="s">
        <v>31</v>
      </c>
      <c r="D101" s="5"/>
      <c r="E101" s="6" t="s">
        <v>245</v>
      </c>
      <c r="F101" s="5" t="s">
        <v>246</v>
      </c>
      <c r="G101" s="5" t="s">
        <v>16</v>
      </c>
      <c r="H101" s="5" t="s">
        <v>17</v>
      </c>
      <c r="I101" s="5" t="s">
        <v>52</v>
      </c>
      <c r="J101" s="5" t="s">
        <v>161</v>
      </c>
      <c r="K101" s="7"/>
      <c r="L101" s="7"/>
    </row>
    <row r="102" spans="1:12" x14ac:dyDescent="0.2">
      <c r="A102" s="2" t="s">
        <v>11</v>
      </c>
      <c r="B102" s="15" t="s">
        <v>231</v>
      </c>
      <c r="C102" s="2" t="s">
        <v>31</v>
      </c>
      <c r="D102" s="2"/>
      <c r="E102" s="3" t="s">
        <v>247</v>
      </c>
      <c r="F102" s="2" t="s">
        <v>248</v>
      </c>
      <c r="G102" s="2" t="s">
        <v>16</v>
      </c>
      <c r="H102" s="2" t="s">
        <v>17</v>
      </c>
      <c r="I102" s="2" t="s">
        <v>52</v>
      </c>
      <c r="J102" s="2" t="s">
        <v>161</v>
      </c>
      <c r="K102" s="4"/>
      <c r="L102" s="4"/>
    </row>
    <row r="103" spans="1:12" x14ac:dyDescent="0.2">
      <c r="A103" s="5" t="s">
        <v>11</v>
      </c>
      <c r="B103" s="15" t="s">
        <v>231</v>
      </c>
      <c r="C103" s="5" t="s">
        <v>31</v>
      </c>
      <c r="D103" s="5"/>
      <c r="E103" s="6" t="s">
        <v>249</v>
      </c>
      <c r="F103" s="5" t="s">
        <v>250</v>
      </c>
      <c r="G103" s="5" t="s">
        <v>16</v>
      </c>
      <c r="H103" s="5" t="s">
        <v>17</v>
      </c>
      <c r="I103" s="5" t="s">
        <v>111</v>
      </c>
      <c r="J103" s="5" t="s">
        <v>34</v>
      </c>
      <c r="K103" s="7"/>
      <c r="L103" s="7"/>
    </row>
    <row r="104" spans="1:12" x14ac:dyDescent="0.2">
      <c r="A104" s="8" t="s">
        <v>11</v>
      </c>
      <c r="B104" s="15" t="s">
        <v>231</v>
      </c>
      <c r="C104" s="8" t="s">
        <v>31</v>
      </c>
      <c r="D104" s="8"/>
      <c r="E104" s="9" t="s">
        <v>251</v>
      </c>
      <c r="F104" s="8" t="s">
        <v>252</v>
      </c>
      <c r="G104" s="8" t="s">
        <v>26</v>
      </c>
      <c r="H104" s="8" t="s">
        <v>133</v>
      </c>
      <c r="I104" s="8" t="s">
        <v>134</v>
      </c>
      <c r="J104" s="8" t="s">
        <v>28</v>
      </c>
      <c r="K104" s="10"/>
      <c r="L104" s="10"/>
    </row>
    <row r="105" spans="1:12" x14ac:dyDescent="0.2">
      <c r="A105" s="8" t="s">
        <v>11</v>
      </c>
      <c r="B105" s="15" t="s">
        <v>231</v>
      </c>
      <c r="C105" s="8" t="s">
        <v>31</v>
      </c>
      <c r="D105" s="8"/>
      <c r="E105" s="9" t="s">
        <v>253</v>
      </c>
      <c r="F105" s="8" t="s">
        <v>254</v>
      </c>
      <c r="G105" s="8" t="s">
        <v>26</v>
      </c>
      <c r="H105" s="8" t="s">
        <v>133</v>
      </c>
      <c r="I105" s="8" t="s">
        <v>134</v>
      </c>
      <c r="J105" s="8" t="s">
        <v>28</v>
      </c>
      <c r="K105" s="10"/>
      <c r="L105" s="10"/>
    </row>
    <row r="106" spans="1:12" x14ac:dyDescent="0.2">
      <c r="A106" s="2" t="s">
        <v>11</v>
      </c>
      <c r="B106" s="15" t="s">
        <v>231</v>
      </c>
      <c r="C106" s="2" t="s">
        <v>39</v>
      </c>
      <c r="D106" s="2"/>
      <c r="E106" s="3" t="s">
        <v>255</v>
      </c>
      <c r="F106" s="2" t="s">
        <v>256</v>
      </c>
      <c r="G106" s="2" t="s">
        <v>16</v>
      </c>
      <c r="H106" s="2" t="s">
        <v>17</v>
      </c>
      <c r="I106" s="2" t="s">
        <v>18</v>
      </c>
      <c r="J106" s="2" t="s">
        <v>42</v>
      </c>
      <c r="K106" s="4"/>
      <c r="L106" s="4"/>
    </row>
    <row r="107" spans="1:12" x14ac:dyDescent="0.2">
      <c r="A107" s="5" t="s">
        <v>11</v>
      </c>
      <c r="B107" s="15" t="s">
        <v>231</v>
      </c>
      <c r="C107" s="5" t="s">
        <v>39</v>
      </c>
      <c r="D107" s="5"/>
      <c r="E107" s="6" t="s">
        <v>257</v>
      </c>
      <c r="F107" s="5" t="s">
        <v>258</v>
      </c>
      <c r="G107" s="5" t="s">
        <v>16</v>
      </c>
      <c r="H107" s="5" t="s">
        <v>17</v>
      </c>
      <c r="I107" s="5" t="s">
        <v>18</v>
      </c>
      <c r="J107" s="5" t="s">
        <v>42</v>
      </c>
      <c r="K107" s="7"/>
      <c r="L107" s="7"/>
    </row>
    <row r="108" spans="1:12" x14ac:dyDescent="0.2">
      <c r="A108" s="2" t="s">
        <v>11</v>
      </c>
      <c r="B108" s="15" t="s">
        <v>231</v>
      </c>
      <c r="C108" s="2" t="s">
        <v>39</v>
      </c>
      <c r="D108" s="2"/>
      <c r="E108" s="3" t="s">
        <v>259</v>
      </c>
      <c r="F108" s="2" t="s">
        <v>260</v>
      </c>
      <c r="G108" s="2" t="s">
        <v>16</v>
      </c>
      <c r="H108" s="2" t="s">
        <v>17</v>
      </c>
      <c r="I108" s="2" t="s">
        <v>18</v>
      </c>
      <c r="J108" s="2" t="s">
        <v>42</v>
      </c>
      <c r="K108" s="4"/>
      <c r="L108" s="4"/>
    </row>
    <row r="109" spans="1:12" ht="28" x14ac:dyDescent="0.2">
      <c r="A109" s="11" t="s">
        <v>54</v>
      </c>
      <c r="B109" s="15" t="s">
        <v>231</v>
      </c>
      <c r="C109" s="11" t="s">
        <v>39</v>
      </c>
      <c r="D109" s="11"/>
      <c r="E109" s="12" t="s">
        <v>261</v>
      </c>
      <c r="F109" s="11" t="s">
        <v>262</v>
      </c>
      <c r="G109" s="11" t="s">
        <v>16</v>
      </c>
      <c r="H109" s="11" t="s">
        <v>103</v>
      </c>
      <c r="I109" s="11" t="s">
        <v>104</v>
      </c>
      <c r="J109" s="11" t="s">
        <v>180</v>
      </c>
      <c r="K109" s="13" t="s">
        <v>263</v>
      </c>
      <c r="L109" s="13"/>
    </row>
    <row r="110" spans="1:12" x14ac:dyDescent="0.2">
      <c r="A110" s="2" t="s">
        <v>11</v>
      </c>
      <c r="B110" s="15" t="s">
        <v>231</v>
      </c>
      <c r="C110" s="2" t="s">
        <v>39</v>
      </c>
      <c r="D110" s="2"/>
      <c r="E110" s="3" t="s">
        <v>264</v>
      </c>
      <c r="F110" s="2" t="s">
        <v>265</v>
      </c>
      <c r="G110" s="2" t="s">
        <v>16</v>
      </c>
      <c r="H110" s="2" t="s">
        <v>17</v>
      </c>
      <c r="I110" s="2" t="s">
        <v>210</v>
      </c>
      <c r="J110" s="2" t="s">
        <v>42</v>
      </c>
      <c r="K110" s="4"/>
      <c r="L110" s="4"/>
    </row>
    <row r="111" spans="1:12" x14ac:dyDescent="0.2">
      <c r="A111" s="5" t="s">
        <v>11</v>
      </c>
      <c r="B111" s="15" t="s">
        <v>231</v>
      </c>
      <c r="C111" s="5" t="s">
        <v>39</v>
      </c>
      <c r="D111" s="5"/>
      <c r="E111" s="6" t="s">
        <v>266</v>
      </c>
      <c r="F111" s="5" t="s">
        <v>267</v>
      </c>
      <c r="G111" s="5" t="s">
        <v>16</v>
      </c>
      <c r="H111" s="5" t="s">
        <v>17</v>
      </c>
      <c r="I111" s="5" t="s">
        <v>104</v>
      </c>
      <c r="J111" s="5" t="s">
        <v>42</v>
      </c>
      <c r="K111" s="7"/>
      <c r="L111" s="7"/>
    </row>
    <row r="112" spans="1:12" x14ac:dyDescent="0.2">
      <c r="A112" s="2" t="s">
        <v>11</v>
      </c>
      <c r="B112" s="15" t="s">
        <v>231</v>
      </c>
      <c r="C112" s="2" t="s">
        <v>39</v>
      </c>
      <c r="D112" s="2"/>
      <c r="E112" s="3" t="s">
        <v>268</v>
      </c>
      <c r="F112" s="2" t="s">
        <v>269</v>
      </c>
      <c r="G112" s="2" t="s">
        <v>16</v>
      </c>
      <c r="H112" s="2" t="s">
        <v>17</v>
      </c>
      <c r="I112" s="2" t="s">
        <v>104</v>
      </c>
      <c r="J112" s="2" t="s">
        <v>42</v>
      </c>
      <c r="K112" s="4"/>
      <c r="L112" s="4"/>
    </row>
    <row r="113" spans="1:12" x14ac:dyDescent="0.2">
      <c r="A113" s="5" t="s">
        <v>11</v>
      </c>
      <c r="B113" s="15" t="s">
        <v>231</v>
      </c>
      <c r="C113" s="5" t="s">
        <v>39</v>
      </c>
      <c r="D113" s="5"/>
      <c r="E113" s="6" t="s">
        <v>270</v>
      </c>
      <c r="F113" s="5" t="s">
        <v>271</v>
      </c>
      <c r="G113" s="5" t="s">
        <v>16</v>
      </c>
      <c r="H113" s="5" t="s">
        <v>17</v>
      </c>
      <c r="I113" s="5" t="s">
        <v>104</v>
      </c>
      <c r="J113" s="5" t="s">
        <v>42</v>
      </c>
      <c r="K113" s="7"/>
      <c r="L113" s="7"/>
    </row>
    <row r="114" spans="1:12" x14ac:dyDescent="0.2">
      <c r="A114" s="11" t="s">
        <v>54</v>
      </c>
      <c r="B114" s="15" t="s">
        <v>231</v>
      </c>
      <c r="C114" s="11" t="s">
        <v>39</v>
      </c>
      <c r="D114" s="11"/>
      <c r="E114" s="12" t="s">
        <v>272</v>
      </c>
      <c r="F114" s="11" t="s">
        <v>273</v>
      </c>
      <c r="G114" s="11" t="s">
        <v>16</v>
      </c>
      <c r="H114" s="11" t="s">
        <v>17</v>
      </c>
      <c r="I114" s="11" t="s">
        <v>274</v>
      </c>
      <c r="J114" s="11" t="s">
        <v>42</v>
      </c>
      <c r="K114" s="13" t="s">
        <v>275</v>
      </c>
      <c r="L114" s="13"/>
    </row>
    <row r="115" spans="1:12" x14ac:dyDescent="0.2">
      <c r="A115" s="5" t="s">
        <v>11</v>
      </c>
      <c r="B115" s="15" t="s">
        <v>231</v>
      </c>
      <c r="C115" s="5" t="s">
        <v>39</v>
      </c>
      <c r="D115" s="5"/>
      <c r="E115" s="6" t="s">
        <v>276</v>
      </c>
      <c r="F115" s="5" t="s">
        <v>277</v>
      </c>
      <c r="G115" s="5" t="s">
        <v>16</v>
      </c>
      <c r="H115" s="5" t="s">
        <v>17</v>
      </c>
      <c r="I115" s="5" t="s">
        <v>210</v>
      </c>
      <c r="J115" s="5" t="s">
        <v>42</v>
      </c>
      <c r="K115" s="7"/>
      <c r="L115" s="7"/>
    </row>
    <row r="116" spans="1:12" x14ac:dyDescent="0.2">
      <c r="A116" s="2" t="s">
        <v>11</v>
      </c>
      <c r="B116" s="15" t="s">
        <v>231</v>
      </c>
      <c r="C116" s="2" t="s">
        <v>39</v>
      </c>
      <c r="D116" s="2"/>
      <c r="E116" s="3" t="s">
        <v>278</v>
      </c>
      <c r="F116" s="2" t="s">
        <v>279</v>
      </c>
      <c r="G116" s="2" t="s">
        <v>16</v>
      </c>
      <c r="H116" s="2" t="s">
        <v>17</v>
      </c>
      <c r="I116" s="2" t="s">
        <v>210</v>
      </c>
      <c r="J116" s="2" t="s">
        <v>42</v>
      </c>
      <c r="K116" s="4"/>
      <c r="L116" s="4"/>
    </row>
    <row r="117" spans="1:12" x14ac:dyDescent="0.2">
      <c r="A117" s="5" t="s">
        <v>11</v>
      </c>
      <c r="B117" s="15" t="s">
        <v>231</v>
      </c>
      <c r="C117" s="5" t="s">
        <v>39</v>
      </c>
      <c r="D117" s="5"/>
      <c r="E117" s="6" t="s">
        <v>280</v>
      </c>
      <c r="F117" s="5" t="s">
        <v>281</v>
      </c>
      <c r="G117" s="5" t="s">
        <v>16</v>
      </c>
      <c r="H117" s="5" t="s">
        <v>17</v>
      </c>
      <c r="I117" s="5" t="s">
        <v>104</v>
      </c>
      <c r="J117" s="5" t="s">
        <v>42</v>
      </c>
      <c r="K117" s="7"/>
      <c r="L117" s="7"/>
    </row>
    <row r="118" spans="1:12" x14ac:dyDescent="0.2">
      <c r="A118" s="2" t="s">
        <v>11</v>
      </c>
      <c r="B118" s="15" t="s">
        <v>231</v>
      </c>
      <c r="C118" s="2" t="s">
        <v>39</v>
      </c>
      <c r="D118" s="2"/>
      <c r="E118" s="3" t="s">
        <v>282</v>
      </c>
      <c r="F118" s="2" t="s">
        <v>283</v>
      </c>
      <c r="G118" s="2" t="s">
        <v>16</v>
      </c>
      <c r="H118" s="2" t="s">
        <v>17</v>
      </c>
      <c r="I118" s="2" t="s">
        <v>18</v>
      </c>
      <c r="J118" s="2" t="s">
        <v>42</v>
      </c>
      <c r="K118" s="4"/>
      <c r="L118" s="4"/>
    </row>
    <row r="119" spans="1:12" x14ac:dyDescent="0.2">
      <c r="A119" s="5" t="s">
        <v>11</v>
      </c>
      <c r="B119" s="15" t="s">
        <v>231</v>
      </c>
      <c r="C119" s="5" t="s">
        <v>39</v>
      </c>
      <c r="D119" s="5"/>
      <c r="E119" s="6" t="s">
        <v>284</v>
      </c>
      <c r="F119" s="5" t="s">
        <v>285</v>
      </c>
      <c r="G119" s="5" t="s">
        <v>16</v>
      </c>
      <c r="H119" s="5" t="s">
        <v>17</v>
      </c>
      <c r="I119" s="5" t="s">
        <v>18</v>
      </c>
      <c r="J119" s="5" t="s">
        <v>42</v>
      </c>
      <c r="K119" s="7"/>
      <c r="L119" s="7"/>
    </row>
    <row r="120" spans="1:12" x14ac:dyDescent="0.2">
      <c r="A120" s="2" t="s">
        <v>11</v>
      </c>
      <c r="B120" s="15" t="s">
        <v>231</v>
      </c>
      <c r="C120" s="2" t="s">
        <v>49</v>
      </c>
      <c r="D120" s="2"/>
      <c r="E120" s="3" t="s">
        <v>286</v>
      </c>
      <c r="F120" s="2" t="s">
        <v>287</v>
      </c>
      <c r="G120" s="2" t="s">
        <v>16</v>
      </c>
      <c r="H120" s="2" t="s">
        <v>17</v>
      </c>
      <c r="I120" s="2" t="s">
        <v>18</v>
      </c>
      <c r="J120" s="2" t="s">
        <v>53</v>
      </c>
      <c r="K120" s="4"/>
      <c r="L120" s="4"/>
    </row>
    <row r="121" spans="1:12" x14ac:dyDescent="0.2">
      <c r="A121" s="5" t="s">
        <v>11</v>
      </c>
      <c r="B121" s="15" t="s">
        <v>231</v>
      </c>
      <c r="C121" s="5" t="s">
        <v>49</v>
      </c>
      <c r="D121" s="5"/>
      <c r="E121" s="6" t="s">
        <v>288</v>
      </c>
      <c r="F121" s="5" t="s">
        <v>289</v>
      </c>
      <c r="G121" s="5" t="s">
        <v>16</v>
      </c>
      <c r="H121" s="5" t="s">
        <v>17</v>
      </c>
      <c r="I121" s="5" t="s">
        <v>210</v>
      </c>
      <c r="J121" s="5" t="s">
        <v>290</v>
      </c>
      <c r="K121" s="7"/>
      <c r="L121" s="7"/>
    </row>
    <row r="122" spans="1:12" x14ac:dyDescent="0.2">
      <c r="A122" s="2" t="s">
        <v>11</v>
      </c>
      <c r="B122" s="15" t="s">
        <v>231</v>
      </c>
      <c r="C122" s="2" t="s">
        <v>49</v>
      </c>
      <c r="D122" s="2"/>
      <c r="E122" s="3" t="s">
        <v>291</v>
      </c>
      <c r="F122" s="2" t="s">
        <v>292</v>
      </c>
      <c r="G122" s="2" t="s">
        <v>16</v>
      </c>
      <c r="H122" s="2" t="s">
        <v>17</v>
      </c>
      <c r="I122" s="2" t="s">
        <v>111</v>
      </c>
      <c r="J122" s="2" t="s">
        <v>290</v>
      </c>
      <c r="K122" s="4"/>
      <c r="L122" s="4"/>
    </row>
    <row r="123" spans="1:12" x14ac:dyDescent="0.2">
      <c r="A123" s="5" t="s">
        <v>11</v>
      </c>
      <c r="B123" s="15" t="s">
        <v>231</v>
      </c>
      <c r="C123" s="5" t="s">
        <v>49</v>
      </c>
      <c r="D123" s="5"/>
      <c r="E123" s="6" t="s">
        <v>293</v>
      </c>
      <c r="F123" s="5" t="s">
        <v>294</v>
      </c>
      <c r="G123" s="5" t="s">
        <v>16</v>
      </c>
      <c r="H123" s="5" t="s">
        <v>17</v>
      </c>
      <c r="I123" s="5" t="s">
        <v>18</v>
      </c>
      <c r="J123" s="5" t="s">
        <v>290</v>
      </c>
      <c r="K123" s="7"/>
      <c r="L123" s="7"/>
    </row>
    <row r="124" spans="1:12" x14ac:dyDescent="0.2">
      <c r="A124" s="2" t="s">
        <v>11</v>
      </c>
      <c r="B124" s="15" t="s">
        <v>231</v>
      </c>
      <c r="C124" s="2" t="s">
        <v>49</v>
      </c>
      <c r="D124" s="2"/>
      <c r="E124" s="3" t="s">
        <v>295</v>
      </c>
      <c r="F124" s="2" t="s">
        <v>296</v>
      </c>
      <c r="G124" s="2" t="s">
        <v>16</v>
      </c>
      <c r="H124" s="2" t="s">
        <v>17</v>
      </c>
      <c r="I124" s="2" t="s">
        <v>297</v>
      </c>
      <c r="J124" s="2" t="s">
        <v>53</v>
      </c>
      <c r="K124" s="4"/>
      <c r="L124" s="4"/>
    </row>
    <row r="125" spans="1:12" x14ac:dyDescent="0.2">
      <c r="A125" s="5" t="s">
        <v>11</v>
      </c>
      <c r="B125" s="15" t="s">
        <v>231</v>
      </c>
      <c r="C125" s="5" t="s">
        <v>49</v>
      </c>
      <c r="D125" s="5"/>
      <c r="E125" s="6" t="s">
        <v>298</v>
      </c>
      <c r="F125" s="5" t="s">
        <v>299</v>
      </c>
      <c r="G125" s="5" t="s">
        <v>16</v>
      </c>
      <c r="H125" s="5" t="s">
        <v>17</v>
      </c>
      <c r="I125" s="5" t="s">
        <v>297</v>
      </c>
      <c r="J125" s="5" t="s">
        <v>53</v>
      </c>
      <c r="K125" s="7"/>
      <c r="L125" s="7"/>
    </row>
    <row r="126" spans="1:12" x14ac:dyDescent="0.2">
      <c r="A126" s="2" t="s">
        <v>11</v>
      </c>
      <c r="B126" s="15" t="s">
        <v>231</v>
      </c>
      <c r="C126" s="2" t="s">
        <v>49</v>
      </c>
      <c r="D126" s="2"/>
      <c r="E126" s="3" t="s">
        <v>300</v>
      </c>
      <c r="F126" s="2" t="s">
        <v>301</v>
      </c>
      <c r="G126" s="2" t="s">
        <v>16</v>
      </c>
      <c r="H126" s="2" t="s">
        <v>17</v>
      </c>
      <c r="I126" s="2" t="s">
        <v>302</v>
      </c>
      <c r="J126" s="2" t="s">
        <v>290</v>
      </c>
      <c r="K126" s="4"/>
      <c r="L126" s="4"/>
    </row>
    <row r="127" spans="1:12" x14ac:dyDescent="0.2">
      <c r="A127" s="5" t="s">
        <v>11</v>
      </c>
      <c r="B127" s="15" t="s">
        <v>231</v>
      </c>
      <c r="C127" s="5" t="s">
        <v>49</v>
      </c>
      <c r="D127" s="5"/>
      <c r="E127" s="6" t="s">
        <v>303</v>
      </c>
      <c r="F127" s="5" t="s">
        <v>304</v>
      </c>
      <c r="G127" s="5" t="s">
        <v>16</v>
      </c>
      <c r="H127" s="5" t="s">
        <v>17</v>
      </c>
      <c r="I127" s="5" t="s">
        <v>18</v>
      </c>
      <c r="J127" s="5" t="s">
        <v>53</v>
      </c>
      <c r="K127" s="7"/>
      <c r="L127" s="7"/>
    </row>
  </sheetData>
  <autoFilter ref="A1:L127" xr:uid="{00000000-0009-0000-0000-000000000000}"/>
  <dataValidations count="1">
    <dataValidation type="list" allowBlank="1" sqref="A2:A127" xr:uid="{00000000-0002-0000-0000-000000000000}">
      <formula1>"keep,DROP,move"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showGridLines="0" workbookViewId="0"/>
  </sheetViews>
  <sheetFormatPr baseColWidth="10" defaultColWidth="8.83203125" defaultRowHeight="15" x14ac:dyDescent="0.2"/>
  <cols>
    <col min="1" max="1" width="22" customWidth="1"/>
    <col min="2" max="5" width="12" customWidth="1"/>
    <col min="6" max="6" width="10" customWidth="1"/>
    <col min="7" max="7" width="14" customWidth="1"/>
  </cols>
  <sheetData>
    <row r="1" spans="1:7" ht="19" x14ac:dyDescent="0.2">
      <c r="A1" s="16" t="s">
        <v>305</v>
      </c>
    </row>
    <row r="2" spans="1:7" x14ac:dyDescent="0.2">
      <c r="A2" s="25" t="s">
        <v>306</v>
      </c>
      <c r="B2" s="26"/>
      <c r="C2" s="26"/>
      <c r="D2" s="26"/>
      <c r="E2" s="26"/>
      <c r="F2" s="26"/>
      <c r="G2" s="26"/>
    </row>
    <row r="4" spans="1:7" x14ac:dyDescent="0.2">
      <c r="A4" s="17" t="s">
        <v>1</v>
      </c>
      <c r="B4" s="17" t="s">
        <v>13</v>
      </c>
      <c r="C4" s="17" t="s">
        <v>31</v>
      </c>
      <c r="D4" s="17" t="s">
        <v>39</v>
      </c>
      <c r="E4" s="17" t="s">
        <v>49</v>
      </c>
      <c r="F4" s="17" t="s">
        <v>307</v>
      </c>
      <c r="G4" s="17" t="s">
        <v>308</v>
      </c>
    </row>
    <row r="5" spans="1:7" x14ac:dyDescent="0.2">
      <c r="A5" s="18" t="s">
        <v>12</v>
      </c>
      <c r="B5" s="19">
        <v>5</v>
      </c>
      <c r="C5" s="19">
        <v>3</v>
      </c>
      <c r="D5" s="19">
        <v>4</v>
      </c>
      <c r="E5" s="19">
        <v>22</v>
      </c>
      <c r="F5" s="19">
        <v>34</v>
      </c>
      <c r="G5" s="19">
        <v>4</v>
      </c>
    </row>
    <row r="6" spans="1:7" x14ac:dyDescent="0.2">
      <c r="A6" s="20" t="s">
        <v>100</v>
      </c>
      <c r="B6" s="19">
        <v>20</v>
      </c>
      <c r="C6" s="19">
        <v>14</v>
      </c>
      <c r="D6" s="19">
        <v>20</v>
      </c>
      <c r="E6" s="19">
        <v>5</v>
      </c>
      <c r="F6" s="19">
        <v>59</v>
      </c>
      <c r="G6" s="19">
        <v>17</v>
      </c>
    </row>
    <row r="7" spans="1:7" x14ac:dyDescent="0.2">
      <c r="A7" s="21" t="s">
        <v>231</v>
      </c>
      <c r="B7" s="19">
        <v>2</v>
      </c>
      <c r="C7" s="19">
        <v>9</v>
      </c>
      <c r="D7" s="19">
        <v>14</v>
      </c>
      <c r="E7" s="19">
        <v>8</v>
      </c>
      <c r="F7" s="19">
        <v>33</v>
      </c>
      <c r="G7" s="19">
        <v>3</v>
      </c>
    </row>
    <row r="8" spans="1:7" x14ac:dyDescent="0.2">
      <c r="A8" s="22" t="s">
        <v>309</v>
      </c>
      <c r="B8" s="22">
        <f t="shared" ref="B8:G8" si="0">SUM(B5:B7)</f>
        <v>27</v>
      </c>
      <c r="C8" s="22">
        <f t="shared" si="0"/>
        <v>26</v>
      </c>
      <c r="D8" s="22">
        <f t="shared" si="0"/>
        <v>38</v>
      </c>
      <c r="E8" s="22">
        <f t="shared" si="0"/>
        <v>35</v>
      </c>
      <c r="F8" s="22">
        <f t="shared" si="0"/>
        <v>126</v>
      </c>
      <c r="G8" s="22">
        <f t="shared" si="0"/>
        <v>24</v>
      </c>
    </row>
    <row r="10" spans="1:7" x14ac:dyDescent="0.2">
      <c r="A10" s="23" t="s">
        <v>310</v>
      </c>
    </row>
    <row r="11" spans="1:7" x14ac:dyDescent="0.2">
      <c r="A11" s="24" t="s">
        <v>311</v>
      </c>
      <c r="B11" s="23">
        <f>COUNTIF('Proposed Grouping'!A2:A200,"keep")</f>
        <v>113</v>
      </c>
    </row>
    <row r="12" spans="1:7" x14ac:dyDescent="0.2">
      <c r="A12" s="24" t="s">
        <v>312</v>
      </c>
      <c r="B12" s="23">
        <f>COUNTIF('Proposed Grouping'!A2:A200,"DROP")</f>
        <v>13</v>
      </c>
    </row>
    <row r="13" spans="1:7" x14ac:dyDescent="0.2">
      <c r="A13" s="24" t="s">
        <v>313</v>
      </c>
      <c r="B13" s="23">
        <f>COUNTIF('Proposed Grouping'!A2:A200,"move")</f>
        <v>0</v>
      </c>
    </row>
    <row r="14" spans="1:7" x14ac:dyDescent="0.2">
      <c r="A14" s="24" t="s">
        <v>314</v>
      </c>
      <c r="B14" s="23">
        <f>COUNTIFS('Proposed Grouping'!A2:A200,"keep",'Proposed Grouping'!G2:G200,"NEW")</f>
        <v>24</v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Proposed Grouping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Nate Georgy</cp:lastModifiedBy>
  <dcterms:created xsi:type="dcterms:W3CDTF">2026-09-02T00:24:26Z</dcterms:created>
  <dcterms:modified xsi:type="dcterms:W3CDTF">2026-09-02T02:18:26Z</dcterms:modified>
</cp:coreProperties>
</file>
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ate/gridiron/docs/"/>
    </mc:Choice>
  </mc:AlternateContent>
  <xr:revisionPtr revIDLastSave="0" documentId="13_ncr:1_{0E0102F2-7266-CD42-A6AE-2DBD80FC2B45}" xr6:coauthVersionLast="47" xr6:coauthVersionMax="47" xr10:uidLastSave="{00000000-0000-0000-0000-000000000000}"/>
  <bookViews>
    <workbookView xWindow="72460" yWindow="-23520" windowWidth="15680" windowHeight="21000" activeTab="1" xr2:uid="{00000000-000D-0000-FFFF-FFFF00000000}"/>
  </bookViews>
  <sheets>
    <sheet name="README" sheetId="1" r:id="rId1"/>
    <sheet name="All Stats" sheetId="2" r:id="rId2"/>
    <sheet name="Coverage" sheetId="3" r:id="rId3"/>
    <sheet name="Insight Formulas" sheetId="4" r:id="rId4"/>
    <sheet name="Data Sources" sheetId="5" r:id="rId5"/>
  </sheets>
  <definedNames>
    <definedName name="_xlnm._FilterDatabase" localSheetId="1" hidden="1">'All Stats'!$A$1:$M$105</definedName>
    <definedName name="_xlnm._FilterDatabase" localSheetId="2" hidden="1">Coverage!$A$1:$G$81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B19" i="1"/>
  <c r="B18" i="1"/>
  <c r="B17" i="1"/>
  <c r="B16" i="1"/>
</calcChain>
</file>

<file path=xl/sharedStrings.xml><?xml version="1.0" encoding="utf-8"?>
<sst xmlns="http://schemas.openxmlformats.org/spreadsheetml/2006/main" count="1820" uniqueCount="642">
  <si>
    <t>GridironIQ — Stat Inventory</t>
  </si>
  <si>
    <t>Every metric the platform serves, generated from the live metric registry (backend/app/metrics.py) and the local database.</t>
  </si>
  <si>
    <t>How to read this workbook</t>
  </si>
  <si>
    <t>All Stats</t>
  </si>
  <si>
    <t>Every metric, one row each. Filter on Group, Source or Positions. Next Gen Stats are labelled “(NGS)” and shaded green.</t>
  </si>
  <si>
    <t>Coverage</t>
  </si>
  <si>
    <t>The 80 stored columns as they actually exist in the database right now — row counts and the real first/last season with data.</t>
  </si>
  <si>
    <t>Insight Formulas</t>
  </si>
  <si>
    <t>The exact weights behind VORP, Fantasy Opportunity Rating, Buy Low and Sell High.</t>
  </si>
  <si>
    <t>Data Sources</t>
  </si>
  <si>
    <t>Which nflverse feed supplies what, and what we are not yet using.</t>
  </si>
  <si>
    <t>Three things that will otherwise surprise you</t>
  </si>
  <si>
    <t>Modelled ≠ measured</t>
  </si>
  <si>
    <t>Rows shaded amber are model estimates, not counted events — the ffopportunity expected components and the NGS tracking models. Never present one as observed data.</t>
  </si>
  <si>
    <t>Coverage deepens over time</t>
  </si>
  <si>
    <t>Scope reaches back to 1999 but the feeds do not. Read the Seasons column before building any board that spans eras; targets are unrecoverable 2003–2008.</t>
  </si>
  <si>
    <t>NGS weekly rows are a biased subset</t>
  </si>
  <si>
    <t>NGS publishes a weekly row only above roughly 15 attempts / 5 targets / 10 carries, so quiet games are absent. In 2024 a receiver's published weeks covered a median 79% of his targets. Season aggregates built from them lean toward a player's busier games — QBs are unaffected at 100%.</t>
  </si>
  <si>
    <t>Counts (live formulas against the All Stats sheet)</t>
  </si>
  <si>
    <t>Metrics in total</t>
  </si>
  <si>
    <t>Next Gen Stats</t>
  </si>
  <si>
    <t>Stored columns</t>
  </si>
  <si>
    <t>Computed at query time</t>
  </si>
  <si>
    <t>Model estimates</t>
  </si>
  <si>
    <t>Generated 1 September 2026 · database holds 149,913 player-game stat lines, 1999–2025.</t>
  </si>
  <si>
    <t>Metric</t>
  </si>
  <si>
    <t>Column / ID</t>
  </si>
  <si>
    <t>Group</t>
  </si>
  <si>
    <t>Category</t>
  </si>
  <si>
    <t>Short</t>
  </si>
  <si>
    <t>Source</t>
  </si>
  <si>
    <t>Positions</t>
  </si>
  <si>
    <t>Storage</t>
  </si>
  <si>
    <t>Kind</t>
  </si>
  <si>
    <t>Aggregation</t>
  </si>
  <si>
    <t>Seasons</t>
  </si>
  <si>
    <t>Direction</t>
  </si>
  <si>
    <t>Description</t>
  </si>
  <si>
    <t>Fantasy PPG</t>
  </si>
  <si>
    <t>fantasy_ppg</t>
  </si>
  <si>
    <t>Fantasy Scoring</t>
  </si>
  <si>
    <t>Fantasy</t>
  </si>
  <si>
    <t>FPPG</t>
  </si>
  <si>
    <t>GridironIQ scoring engine</t>
  </si>
  <si>
    <t>QB, RB, WR, TE</t>
  </si>
  <si>
    <t>Computed</t>
  </si>
  <si>
    <t>Measured</t>
  </si>
  <si>
    <t>Scoring engine (per request)</t>
  </si>
  <si>
    <t>1999–present</t>
  </si>
  <si>
    <t>Higher is better</t>
  </si>
  <si>
    <t>Fantasy points per game in the active league scoring.</t>
  </si>
  <si>
    <t>Fantasy PPG (Half)</t>
  </si>
  <si>
    <t>fantasy_ppg_half</t>
  </si>
  <si>
    <t>PPG½</t>
  </si>
  <si>
    <t>GridironIQ — derived from stored columns</t>
  </si>
  <si>
    <t>Per game / per opportunity</t>
  </si>
  <si>
    <t>Half-PPR fantasy points per game.</t>
  </si>
  <si>
    <t>Fantasy PPG (PPR)</t>
  </si>
  <si>
    <t>fantasy_ppg_ppr</t>
  </si>
  <si>
    <t>PPG</t>
  </si>
  <si>
    <t>Full-PPR fantasy points per game.</t>
  </si>
  <si>
    <t>Fantasy PPG (Std)</t>
  </si>
  <si>
    <t>fantasy_ppg_std</t>
  </si>
  <si>
    <t>PPGs</t>
  </si>
  <si>
    <t>Standard fantasy points per game.</t>
  </si>
  <si>
    <t>Fantasy Points</t>
  </si>
  <si>
    <t>fantasy_points</t>
  </si>
  <si>
    <t>FPTS</t>
  </si>
  <si>
    <t>Total fantasy points in the active league scoring.</t>
  </si>
  <si>
    <t>Fantasy Points (Half)</t>
  </si>
  <si>
    <t>fantasy_points_half</t>
  </si>
  <si>
    <t>HALF</t>
  </si>
  <si>
    <t>nflverse play-by-play + player stats</t>
  </si>
  <si>
    <t>Stored</t>
  </si>
  <si>
    <t>Summed over the window</t>
  </si>
  <si>
    <t>Total fantasy points, half-PPR scoring.</t>
  </si>
  <si>
    <t>Fantasy Points (PPR)</t>
  </si>
  <si>
    <t>fantasy_points_ppr</t>
  </si>
  <si>
    <t>PPR</t>
  </si>
  <si>
    <t>Total fantasy points, full-PPR scoring.</t>
  </si>
  <si>
    <t>Fantasy Points (Std)</t>
  </si>
  <si>
    <t>fantasy_points_std</t>
  </si>
  <si>
    <t>STD</t>
  </si>
  <si>
    <t>Total fantasy points, standard (non-PPR) scoring.</t>
  </si>
  <si>
    <t>Expected 2-Pt Conversions</t>
  </si>
  <si>
    <t>two_point_conv_exp</t>
  </si>
  <si>
    <t>Expected Points (modelled)</t>
  </si>
  <si>
    <t>x2PT</t>
  </si>
  <si>
    <t>ffopportunity model (load_ff_opportunity)</t>
  </si>
  <si>
    <t>Modelled</t>
  </si>
  <si>
    <t>2009–present</t>
  </si>
  <si>
    <t>Modelled two-point conversions.</t>
  </si>
  <si>
    <t>Expected Fantasy PPG</t>
  </si>
  <si>
    <t>expected_fantasy_ppg</t>
  </si>
  <si>
    <t>xFPPG</t>
  </si>
  <si>
    <t>Scoring engine on expected components</t>
  </si>
  <si>
    <t>Expected fantasy points per game in the active league scoring.</t>
  </si>
  <si>
    <t>Expected Fantasy Points</t>
  </si>
  <si>
    <t>expected_fantasy_points</t>
  </si>
  <si>
    <t>xFPTS</t>
  </si>
  <si>
    <t>Fantasy points a player's opportunity was worth, in the active league scoring — modelled from where and how they were used, not from what they actually produced.</t>
  </si>
  <si>
    <t>Points Over Expected</t>
  </si>
  <si>
    <t>fantasy_points_over_expected</t>
  </si>
  <si>
    <t>FP±</t>
  </si>
  <si>
    <t>Actual fantasy points minus expected. Positive = outproducing the opportunity (efficiency or touchdown luck that may not hold); negative = the usage says more points should be coming.</t>
  </si>
  <si>
    <t>Efficiency vs Career</t>
  </si>
  <si>
    <t>efficiency_over_baseline</t>
  </si>
  <si>
    <t>Insight Score (query-time)</t>
  </si>
  <si>
    <t>Insight</t>
  </si>
  <si>
    <t>EFF±</t>
  </si>
  <si>
    <t>GridironIQ — computed at query time</t>
  </si>
  <si>
    <t>Insight engine (scoring + league aware)</t>
  </si>
  <si>
    <t>Fantasy points per opportunity compared with this player's own earlier seasons. Positive means they're finishing plays better than they ever have — which usually doesn't last.</t>
  </si>
  <si>
    <t>Expected VORP</t>
  </si>
  <si>
    <t>expected_vorp</t>
  </si>
  <si>
    <t>xVORP</t>
  </si>
  <si>
    <t>Value over replacement measured on *expected* points instead of actual ones — what the player's usage was worth above the last startable player at their position. Strips touchdown luck and efficiency out of value, so it reads opportunity rather than results. The valuation behind the Draft Value Board.</t>
  </si>
  <si>
    <t>Expected VORP Per Game</t>
  </si>
  <si>
    <t>expected_vorp_ppg</t>
  </si>
  <si>
    <t>xVORP/G</t>
  </si>
  <si>
    <t>Expected value over replacement per game, so a player who missed time is judged on the weeks they played.</t>
  </si>
  <si>
    <t>Fantasy Opportunity Rating</t>
  </si>
  <si>
    <t>fantasy_opportunity_rating</t>
  </si>
  <si>
    <t>FOR</t>
  </si>
  <si>
    <t>0–100: how much of the offense runs through this player, regardless of what it produced. Half expected fantasy points, half the usage shares that matter at their position.</t>
  </si>
  <si>
    <t>Positive-Regression Index</t>
  </si>
  <si>
    <t>positive_regression_index</t>
  </si>
  <si>
    <t>BUY</t>
  </si>
  <si>
    <t>0–100 buy-low signal: real opportunity, scoring below what that opportunity is worth, touchdown-starved, and still cheap.</t>
  </si>
  <si>
    <t>Replacement Level</t>
  </si>
  <si>
    <t>replacement_ppg</t>
  </si>
  <si>
    <t>REPL</t>
  </si>
  <si>
    <t>Points per game of the last startable player at this position in your league — the baseline VORP is measured against.</t>
  </si>
  <si>
    <t>Replacement Level (Expected)</t>
  </si>
  <si>
    <t>replacement_expected_ppg</t>
  </si>
  <si>
    <t>xREPL</t>
  </si>
  <si>
    <t>Expected points per game of the last startable player at this position — the baseline expected VORP is measured against.</t>
  </si>
  <si>
    <t>Sell-High Index</t>
  </si>
  <si>
    <t>sell_high_index</t>
  </si>
  <si>
    <t>SELL</t>
  </si>
  <si>
    <t>0–100 sell-high signal: outscoring the opportunity on touchdown luck and above-baseline efficiency, with usage already shrinking.</t>
  </si>
  <si>
    <t>TDs Over Expected</t>
  </si>
  <si>
    <t>tds_over_expected</t>
  </si>
  <si>
    <t>TD±</t>
  </si>
  <si>
    <t>Total touchdowns minus modelled touchdowns. The single most volatile source of fantasy points, and the first thing to regress.</t>
  </si>
  <si>
    <t>Usage Trend</t>
  </si>
  <si>
    <t>opportunity_trend</t>
  </si>
  <si>
    <t>TREND</t>
  </si>
  <si>
    <t>Change in share of the offense from the first half of the window to the second — for QBs, the relative change in pass attempts per game. Negative means the role is shrinking.</t>
  </si>
  <si>
    <t>VORP Per Game</t>
  </si>
  <si>
    <t>vorp_ppg</t>
  </si>
  <si>
    <t>VORP/G</t>
  </si>
  <si>
    <t>Value over replacement on a per-game basis, so an injured star isn't punished for the weeks they missed.</t>
  </si>
  <si>
    <t>Value Over Replacement</t>
  </si>
  <si>
    <t>vorp</t>
  </si>
  <si>
    <t>VORP</t>
  </si>
  <si>
    <t>Fantasy points this player produced above what the last startable player at their position would have — in your scoring and your league size. The honest way to compare a tight end to a running back.</t>
  </si>
  <si>
    <t>Attempts</t>
  </si>
  <si>
    <t>attempts</t>
  </si>
  <si>
    <t>Passing — General</t>
  </si>
  <si>
    <t>Passing</t>
  </si>
  <si>
    <t>ATT</t>
  </si>
  <si>
    <t>QB</t>
  </si>
  <si>
    <t>Pass attempts.</t>
  </si>
  <si>
    <t>Completions</t>
  </si>
  <si>
    <t>completions</t>
  </si>
  <si>
    <t>CMP</t>
  </si>
  <si>
    <t>Completed passes.</t>
  </si>
  <si>
    <t>Interceptions</t>
  </si>
  <si>
    <t>interceptions</t>
  </si>
  <si>
    <t>INT</t>
  </si>
  <si>
    <t>Lower is better</t>
  </si>
  <si>
    <t>Interceptions thrown.</t>
  </si>
  <si>
    <t>Passer Rating</t>
  </si>
  <si>
    <t>passer_rating</t>
  </si>
  <si>
    <t>RATE</t>
  </si>
  <si>
    <t>Averaged over the window</t>
  </si>
  <si>
    <t>NFL passer rating, weighted by attempts. ⚠️ An approximation: the true season rating recomputes the formula from summed components, and its per-component clamps make it inexpressible as a weighted mean. Far closer than a flat average of per-game ratings, which lets a three-attempt relief appearance count as much as a full start.</t>
  </si>
  <si>
    <t>Passing TDs</t>
  </si>
  <si>
    <t>passing_tds</t>
  </si>
  <si>
    <t>PASS TD</t>
  </si>
  <si>
    <t>Passing touchdowns.</t>
  </si>
  <si>
    <t>Passing Yards</t>
  </si>
  <si>
    <t>passing_yards</t>
  </si>
  <si>
    <t>PASS YD</t>
  </si>
  <si>
    <t>Total passing yards.</t>
  </si>
  <si>
    <t>CPOE</t>
  </si>
  <si>
    <t>cpoe</t>
  </si>
  <si>
    <t>Passing — Advanced</t>
  </si>
  <si>
    <t>2006–present</t>
  </si>
  <si>
    <t>Completion percentage over expected, weighted by attempts — a five-attempt game does not count as much as a forty-five-attempt one, which a flat average of per-game rates would let it do.</t>
  </si>
  <si>
    <t>Expected Interceptions</t>
  </si>
  <si>
    <t>interceptions_exp</t>
  </si>
  <si>
    <t>Passing — Expected (modelled)</t>
  </si>
  <si>
    <t>xINT</t>
  </si>
  <si>
    <t>Modelled interceptions from pass attempts.</t>
  </si>
  <si>
    <t>Expected Passing TDs</t>
  </si>
  <si>
    <t>passing_tds_exp</t>
  </si>
  <si>
    <t>xPASS TD</t>
  </si>
  <si>
    <t>Modelled passing touchdowns from pass attempts.</t>
  </si>
  <si>
    <t>Expected Passing Yards</t>
  </si>
  <si>
    <t>passing_yards_exp</t>
  </si>
  <si>
    <t>xPASS YD</t>
  </si>
  <si>
    <t>Modelled passing yards from pass attempts.</t>
  </si>
  <si>
    <t>Aggressiveness (NGS)</t>
  </si>
  <si>
    <t>ngs_pass_aggressiveness</t>
  </si>
  <si>
    <t>Passing — Next Gen Stats</t>
  </si>
  <si>
    <t>AGG%</t>
  </si>
  <si>
    <t>NGS via nflverse (load_nextgen_stats)</t>
  </si>
  <si>
    <t>2016–present</t>
  </si>
  <si>
    <t>Share of attempts thrown into tight coverage -- a defender within one yard of the receiver at the catch point. High aggressiveness on a contested receiver is a fantasy signal; on a possession offense it is a turnover warning.</t>
  </si>
  <si>
    <t>Air Yards Differential (NGS)</t>
  </si>
  <si>
    <t>ngs_pass_air_yards_differential</t>
  </si>
  <si>
    <t>AYD</t>
  </si>
  <si>
    <t>Completed air yards minus intended air yards. Negative for almost everyone; closer to zero means a passer is actually connecting at the depth he is throwing to.</t>
  </si>
  <si>
    <t>Air Yards to Sticks (NGS)</t>
  </si>
  <si>
    <t>ngs_pass_air_yards_to_sticks</t>
  </si>
  <si>
    <t>AYTS</t>
  </si>
  <si>
    <t>Average air yards relative to the first-down marker. Negative means the offense throws short of the sticks and asks receivers to make up the difference.</t>
  </si>
  <si>
    <t>CPOE (NGS)</t>
  </si>
  <si>
    <t>ngs_pass_completion_pct_above_expectation</t>
  </si>
  <si>
    <t>CPOE-N</t>
  </si>
  <si>
    <t>Completion percentage over expected, from the NGS tracking model. Deliberately separate from the play-by-play CPOE above: different model, different inputs, and they disagree by a point or two.</t>
  </si>
  <si>
    <t>Completed Air Yards (NGS)</t>
  </si>
  <si>
    <t>ngs_pass_completed_air_yards</t>
  </si>
  <si>
    <t>CAY</t>
  </si>
  <si>
    <t>Average air yards on completions only.</t>
  </si>
  <si>
    <t>Expected Completion % (NGS)</t>
  </si>
  <si>
    <t>ngs_pass_expected_completion_pct</t>
  </si>
  <si>
    <t>xCOMP%</t>
  </si>
  <si>
    <t>The completion percentage an average quarterback would post on this player's throws, given depth, receiver separation and coverage. A low number means a hard set of throws, not a bad passer.</t>
  </si>
  <si>
    <t>Intended Air Yards (NGS)</t>
  </si>
  <si>
    <t>ngs_pass_intended_air_yards</t>
  </si>
  <si>
    <t>IAY</t>
  </si>
  <si>
    <t>Average depth of target on all attempts, completed or not -- the quarterback's aDOT as NGS measures it. The single best read on whether an offense throws downfield, which is what turns receiver volume into fantasy points.</t>
  </si>
  <si>
    <t>Time to Throw (NGS)</t>
  </si>
  <si>
    <t>ngs_pass_time_to_throw</t>
  </si>
  <si>
    <t>TT</t>
  </si>
  <si>
    <t>Average seconds from snap to release. Descriptive rather than good or bad: a high number is a quarterback holding the ball for deep routes, and also one taking sacks.</t>
  </si>
  <si>
    <t>Carries</t>
  </si>
  <si>
    <t>carries</t>
  </si>
  <si>
    <t>Rushing — General</t>
  </si>
  <si>
    <t>Rushing</t>
  </si>
  <si>
    <t>CAR</t>
  </si>
  <si>
    <t>RB, QB, WR</t>
  </si>
  <si>
    <t>Rushing attempts.</t>
  </si>
  <si>
    <t>Rushing TDs</t>
  </si>
  <si>
    <t>rushing_tds</t>
  </si>
  <si>
    <t>RUSH TD</t>
  </si>
  <si>
    <t>Rushing touchdowns.</t>
  </si>
  <si>
    <t>Rushing Yards</t>
  </si>
  <si>
    <t>rushing_yards</t>
  </si>
  <si>
    <t>RUSH YD</t>
  </si>
  <si>
    <t>Total rushing yards.</t>
  </si>
  <si>
    <t>Carries Inside 10</t>
  </si>
  <si>
    <t>rush_att_inside_10</t>
  </si>
  <si>
    <t>Rushing — Advanced</t>
  </si>
  <si>
    <t>IN10</t>
  </si>
  <si>
    <t>RB, QB</t>
  </si>
  <si>
    <t>Rushing attempts from inside the opponent's 10-yard line.</t>
  </si>
  <si>
    <t>Carries Inside 2</t>
  </si>
  <si>
    <t>rush_att_inside_2</t>
  </si>
  <si>
    <t>IN2</t>
  </si>
  <si>
    <t>Rushing attempts from inside the opponent's 2-yard line.</t>
  </si>
  <si>
    <t>Carries Inside 5</t>
  </si>
  <si>
    <t>rush_att_inside_5</t>
  </si>
  <si>
    <t>IN5</t>
  </si>
  <si>
    <t>Rushing attempts from inside the opponent's 5-yard line — the highest-value carries in fantasy.</t>
  </si>
  <si>
    <t>Red Zone Carries</t>
  </si>
  <si>
    <t>red_zone_rush_attempts</t>
  </si>
  <si>
    <t>RZ CAR</t>
  </si>
  <si>
    <t>Rushing attempts inside the opponent's 20.</t>
  </si>
  <si>
    <t>Red Zone Rush Share</t>
  </si>
  <si>
    <t>red_zone_rush_share</t>
  </si>
  <si>
    <t>RZ RUN%</t>
  </si>
  <si>
    <t>Share of the team's red-zone rushing attempts.</t>
  </si>
  <si>
    <t>Rush Share</t>
  </si>
  <si>
    <t>rush_attempt_share</t>
  </si>
  <si>
    <t>RUSH%</t>
  </si>
  <si>
    <t>ffopportunity team totals (load_ff_opportunity)</t>
  </si>
  <si>
    <t>Share of the team's rushing attempts.</t>
  </si>
  <si>
    <t>Rushing EPA</t>
  </si>
  <si>
    <t>rushing_epa</t>
  </si>
  <si>
    <t>RU EPA</t>
  </si>
  <si>
    <t>Expected points added on rushes.</t>
  </si>
  <si>
    <t>Expected Rushing TDs</t>
  </si>
  <si>
    <t>rushing_tds_exp</t>
  </si>
  <si>
    <t>Rushing — Expected (modelled)</t>
  </si>
  <si>
    <t>xRUSH TD</t>
  </si>
  <si>
    <t>Modelled rushing touchdowns from carry volume and field position.</t>
  </si>
  <si>
    <t>Expected Rushing Yards</t>
  </si>
  <si>
    <t>rushing_yards_exp</t>
  </si>
  <si>
    <t>xRUSH YD</t>
  </si>
  <si>
    <t>Modelled rushing yards from carries and where they came from.</t>
  </si>
  <si>
    <t>Carries Over Expected % (NGS)</t>
  </si>
  <si>
    <t>ngs_rush_pct_over_expected</t>
  </si>
  <si>
    <t>Rushing — Next Gen Stats</t>
  </si>
  <si>
    <t>ROE%</t>
  </si>
  <si>
    <t>RB</t>
  </si>
  <si>
    <t>Share of carries that gained more than the model expected. Consistency rather than magnitude: a back at 55% is beating his blocking more often than not, whatever his long runs say.</t>
  </si>
  <si>
    <t>Expected Rush Yards (NGS)</t>
  </si>
  <si>
    <t>ngs_rush_expected_yards</t>
  </si>
  <si>
    <t>xRY</t>
  </si>
  <si>
    <t>Rushing yards the tracking model expected from this player's carries. Read beside actual yards, it is a measure of the blocking in front of him.</t>
  </si>
  <si>
    <t>RYOE / Attempt (NGS)</t>
  </si>
  <si>
    <t>ngs_rush_yards_over_expected_per_att</t>
  </si>
  <si>
    <t>RYOE/A</t>
  </si>
  <si>
    <t>Rush yards over expected on a per-carry basis -- the same signal with volume divided out, so a committee back is judged on the carries he got.</t>
  </si>
  <si>
    <t>Rush Efficiency (NGS)</t>
  </si>
  <si>
    <t>ngs_rush_efficiency</t>
  </si>
  <si>
    <t>EFF-N</t>
  </si>
  <si>
    <t>Total distance travelled divided by yards gained downfield. **Lower is better**: a back at 3.5 is running north-south, one at 8 is dancing behind the line.</t>
  </si>
  <si>
    <t>Rush Yards Over Expected (NGS)</t>
  </si>
  <si>
    <t>ngs_rush_yards_over_expected</t>
  </si>
  <si>
    <t>RYOE</t>
  </si>
  <si>
    <t>Rushing yards above what the tracking model expected given the blocking, the box count and where every defender was at handoff. The cleanest available separation of a back from his offensive line -- a season total, so it rewards volume as well as skill.</t>
  </si>
  <si>
    <t>Stacked Box Rate (NGS)</t>
  </si>
  <si>
    <t>ngs_rush_pct_attempts_eight_defenders</t>
  </si>
  <si>
    <t>8+BOX</t>
  </si>
  <si>
    <t>Share of carries faced with eight or more defenders in the box. High rates mean defenses are daring the offense to throw -- context that explains a poor yards-per-carry without excusing it.</t>
  </si>
  <si>
    <t>Time to Line of Scrimmage (NGS)</t>
  </si>
  <si>
    <t>ngs_rush_time_to_los</t>
  </si>
  <si>
    <t>TLOS</t>
  </si>
  <si>
    <t>Average seconds from handoff to crossing the line of scrimmage. **Lower is better** -- decisiveness, which is what survives a change of offensive line.</t>
  </si>
  <si>
    <t>Receiving TDs</t>
  </si>
  <si>
    <t>receiving_tds</t>
  </si>
  <si>
    <t>Receiving — General</t>
  </si>
  <si>
    <t>Receiving</t>
  </si>
  <si>
    <t>REC TD</t>
  </si>
  <si>
    <t>WR, TE, RB</t>
  </si>
  <si>
    <t>Receiving touchdowns.</t>
  </si>
  <si>
    <t>Receiving Yards</t>
  </si>
  <si>
    <t>receiving_yards</t>
  </si>
  <si>
    <t>REC YD</t>
  </si>
  <si>
    <t>Total receiving yards.</t>
  </si>
  <si>
    <t>Receptions</t>
  </si>
  <si>
    <t>receptions</t>
  </si>
  <si>
    <t>REC</t>
  </si>
  <si>
    <t>Catches.</t>
  </si>
  <si>
    <t>Targets</t>
  </si>
  <si>
    <t>targets</t>
  </si>
  <si>
    <t>TGT</t>
  </si>
  <si>
    <t>1999–present (gap 2003–2008)</t>
  </si>
  <si>
    <t>Times targeted.</t>
  </si>
  <si>
    <t>Yards After Catch</t>
  </si>
  <si>
    <t>yards_after_catch</t>
  </si>
  <si>
    <t>YAC</t>
  </si>
  <si>
    <t>Total yards after the catch.</t>
  </si>
  <si>
    <t>Yards Per Reception</t>
  </si>
  <si>
    <t>yards_per_reception</t>
  </si>
  <si>
    <t>Y/REC</t>
  </si>
  <si>
    <t>Receiving yards divided by receptions, weighted by receptions — total yards over total receptions.</t>
  </si>
  <si>
    <t>ADOT</t>
  </si>
  <si>
    <t>adot</t>
  </si>
  <si>
    <t>Receiving — Advanced</t>
  </si>
  <si>
    <t>Average depth of target, weighted by targets — so the season value is total air yards over total targets.</t>
  </si>
  <si>
    <t>Air Yards</t>
  </si>
  <si>
    <t>air_yards</t>
  </si>
  <si>
    <t>AIR YD</t>
  </si>
  <si>
    <t>Total air yards on targets.</t>
  </si>
  <si>
    <t>Air Yards Share</t>
  </si>
  <si>
    <t>air_yards_share</t>
  </si>
  <si>
    <t>AY%</t>
  </si>
  <si>
    <t>Share of the team's air yards.</t>
  </si>
  <si>
    <t>RACR</t>
  </si>
  <si>
    <t>racr</t>
  </si>
  <si>
    <t>Receiver air-conversion ratio, weighted by air yards — the season value is total receiving yards over total air yards.</t>
  </si>
  <si>
    <t>Receiving EPA</t>
  </si>
  <si>
    <t>receiving_epa</t>
  </si>
  <si>
    <t>RE EPA</t>
  </si>
  <si>
    <t>Expected points added on receptions.</t>
  </si>
  <si>
    <t>Red Zone Targets</t>
  </si>
  <si>
    <t>red_zone_targets</t>
  </si>
  <si>
    <t>RZ TGT</t>
  </si>
  <si>
    <t>Targets inside the opponent's 20.</t>
  </si>
  <si>
    <t>Route Participation</t>
  </si>
  <si>
    <t>route_participation</t>
  </si>
  <si>
    <t>RTE%</t>
  </si>
  <si>
    <t>participation feed (load_participation)</t>
  </si>
  <si>
    <t>Share of team pass plays on which the player ran a route.</t>
  </si>
  <si>
    <t>Routes Run</t>
  </si>
  <si>
    <t>routes_run</t>
  </si>
  <si>
    <t>RTS</t>
  </si>
  <si>
    <t>Total routes run.</t>
  </si>
  <si>
    <t>Routes Run / Game</t>
  </si>
  <si>
    <t>routes_run_per_game</t>
  </si>
  <si>
    <t>RTS/G</t>
  </si>
  <si>
    <t>Routes run per game.</t>
  </si>
  <si>
    <t>Slot Snaps</t>
  </si>
  <si>
    <t>slot_snaps</t>
  </si>
  <si>
    <t>SLOT</t>
  </si>
  <si>
    <t>— no free source —</t>
  </si>
  <si>
    <t>never</t>
  </si>
  <si>
    <t>Snaps aligned in the slot.</t>
  </si>
  <si>
    <t>Target Share</t>
  </si>
  <si>
    <t>target_share</t>
  </si>
  <si>
    <t>TGT%</t>
  </si>
  <si>
    <t>Share of the team's targets while on the field.</t>
  </si>
  <si>
    <t>Targets Per Route Run</t>
  </si>
  <si>
    <t>targets_per_route_run</t>
  </si>
  <si>
    <t>TPRR</t>
  </si>
  <si>
    <t>Targets divided by routes run, weighted by routes — total targets over total routes.</t>
  </si>
  <si>
    <t>Unrealized Air Yards</t>
  </si>
  <si>
    <t>unrealized_air_yards</t>
  </si>
  <si>
    <t>UAY</t>
  </si>
  <si>
    <t>Air yards on incompletions (lost opportunity).</t>
  </si>
  <si>
    <t>WOPR</t>
  </si>
  <si>
    <t>wopr</t>
  </si>
  <si>
    <t>Weighted opportunity rating (air-yards + target share).</t>
  </si>
  <si>
    <t>Yards Per Route Run</t>
  </si>
  <si>
    <t>yards_per_route_run</t>
  </si>
  <si>
    <t>YPRR</t>
  </si>
  <si>
    <t>Receiving yards divided by routes run, weighted by routes — total yards over total routes.</t>
  </si>
  <si>
    <t>Yards Per Target</t>
  </si>
  <si>
    <t>yards_per_target</t>
  </si>
  <si>
    <t>Y/TGT</t>
  </si>
  <si>
    <t>Receiving yards divided by targets, weighted by targets — total yards over total targets.</t>
  </si>
  <si>
    <t>Expected Receiving TDs</t>
  </si>
  <si>
    <t>receiving_tds_exp</t>
  </si>
  <si>
    <t>Receiving — Expected (modelled)</t>
  </si>
  <si>
    <t>xREC TD</t>
  </si>
  <si>
    <t>Modelled receiving touchdowns from target volume and field position.</t>
  </si>
  <si>
    <t>Expected Receiving Yards</t>
  </si>
  <si>
    <t>receiving_yards_exp</t>
  </si>
  <si>
    <t>xREC YD</t>
  </si>
  <si>
    <t>Modelled receiving yards from target volume and depth.</t>
  </si>
  <si>
    <t>Expected Receptions</t>
  </si>
  <si>
    <t>receptions_exp</t>
  </si>
  <si>
    <t>xREC</t>
  </si>
  <si>
    <t>Modelled catches from target volume and difficulty.</t>
  </si>
  <si>
    <t>Air Yards Share (NGS)</t>
  </si>
  <si>
    <t>ngs_rec_pct_share_intended_air_yards</t>
  </si>
  <si>
    <t>Receiving — Next Gen Stats</t>
  </si>
  <si>
    <t>AY%-N</t>
  </si>
  <si>
    <t>WR, TE</t>
  </si>
  <si>
    <t>Share of the team's intended air yards this receiver commanded -- the NGS reading of how much of the downfield passing game runs through him.</t>
  </si>
  <si>
    <t>Catch Rate (NGS)</t>
  </si>
  <si>
    <t>ngs_rec_catch_pct</t>
  </si>
  <si>
    <t>CATCH%</t>
  </si>
  <si>
    <t>Receptions divided by targets, as NGS counts them.</t>
  </si>
  <si>
    <t>Cushion (NGS)</t>
  </si>
  <si>
    <t>ngs_rec_cushion</t>
  </si>
  <si>
    <t>CUSH</t>
  </si>
  <si>
    <t>Average yards the assigned defender lines up off the receiver before the snap. A shrinking cushion is respect; a large one is a defense conceding the underneath throw.</t>
  </si>
  <si>
    <t>Expected YAC (NGS)</t>
  </si>
  <si>
    <t>ngs_rec_expected_yac</t>
  </si>
  <si>
    <t>xYAC</t>
  </si>
  <si>
    <t>Yards after catch the model expected, per reception.</t>
  </si>
  <si>
    <t>ngs_rec_intended_air_yards</t>
  </si>
  <si>
    <t>IAY-R</t>
  </si>
  <si>
    <t>Average depth of the targets thrown to this receiver, as NGS measures it. Not the same number as the play-by-play ADOT above.</t>
  </si>
  <si>
    <t>Separation (NGS)</t>
  </si>
  <si>
    <t>ngs_rec_separation</t>
  </si>
  <si>
    <t>SEP</t>
  </si>
  <si>
    <t>Average yards of separation from the nearest defender at the moment the ball arrives. The closest thing tracking data has to a measurement of whether a receiver is actually getting open.</t>
  </si>
  <si>
    <t>YAC Over Expected (NGS)</t>
  </si>
  <si>
    <t>ngs_rec_yac_above_expectation</t>
  </si>
  <si>
    <t>YAC+</t>
  </si>
  <si>
    <t>Yards after catch above what the tracking model expected given where the catch was made and where the defenders were. Separates a receiver creating yards from one handed a screen with blockers.</t>
  </si>
  <si>
    <t>Yards After Catch (NGS)</t>
  </si>
  <si>
    <t>ngs_rec_yac</t>
  </si>
  <si>
    <t>YAC-N</t>
  </si>
  <si>
    <t>Average yards after the catch per reception.</t>
  </si>
  <si>
    <t>EPA</t>
  </si>
  <si>
    <t>epa</t>
  </si>
  <si>
    <t>Usage &amp; Opportunity</t>
  </si>
  <si>
    <t>Usage</t>
  </si>
  <si>
    <t>Total expected points added — passing, rushing and receiving combined, which is why a quarterback's rushing shows up here.</t>
  </si>
  <si>
    <t>EPA / Play</t>
  </si>
  <si>
    <t>epa_per_play</t>
  </si>
  <si>
    <t>EPA/PLAY</t>
  </si>
  <si>
    <t>Expected points added per play, counting pass attempts and carries. Rate rather than volume, so it separates a quarterback who was efficient from one who simply threw a lot — and because the denominator includes carries, a running quarterback's legs count toward it rather than diluting it. Sacks are not in the denominator: no free feed publishes them per player, so this is per play rather than per dropback.</t>
  </si>
  <si>
    <t>Fumbles</t>
  </si>
  <si>
    <t>fumbles</t>
  </si>
  <si>
    <t>FUM</t>
  </si>
  <si>
    <t>Total fumbles.</t>
  </si>
  <si>
    <t>Fumbles Lost</t>
  </si>
  <si>
    <t>fumbles_lost</t>
  </si>
  <si>
    <t>FUM L</t>
  </si>
  <si>
    <t>Fumbles lost to the defense.</t>
  </si>
  <si>
    <t>High-Value Touches / Game</t>
  </si>
  <si>
    <t>high_value_touches_per_game</t>
  </si>
  <si>
    <t>HVT/G</t>
  </si>
  <si>
    <t>RB, WR, TE</t>
  </si>
  <si>
    <t>Formula over other metrics</t>
  </si>
  <si>
    <t>Red-zone targets plus carries inside the 5, per game. The two highest-value touch types in fantasy counted together — volume measured where points are actually scored, not between the 20s.</t>
  </si>
  <si>
    <t>Market Share</t>
  </si>
  <si>
    <t>market_share</t>
  </si>
  <si>
    <t>MKT%</t>
  </si>
  <si>
    <t>Share of the team's yards from scrimmage (rushing + receiving).</t>
  </si>
  <si>
    <t>Opportunity Share</t>
  </si>
  <si>
    <t>opportunity_share</t>
  </si>
  <si>
    <t>OPP%</t>
  </si>
  <si>
    <t>Share of the team's touches and targets (carries + targets) — the single best read on how much of the offense runs through a player.</t>
  </si>
  <si>
    <t>Snap Count</t>
  </si>
  <si>
    <t>snap_count</t>
  </si>
  <si>
    <t>SNAP</t>
  </si>
  <si>
    <t>PFR snap counts (load_snap_counts)</t>
  </si>
  <si>
    <t>2013–present</t>
  </si>
  <si>
    <t>Offensive snaps played.</t>
  </si>
  <si>
    <t>Snap Share</t>
  </si>
  <si>
    <t>snap_share</t>
  </si>
  <si>
    <t>SNAP%</t>
  </si>
  <si>
    <t>Share of the team's offensive snaps.</t>
  </si>
  <si>
    <t>Touches Per Snap</t>
  </si>
  <si>
    <t>touches_per_snap</t>
  </si>
  <si>
    <t>TCH/SNAP</t>
  </si>
  <si>
    <t>2013–present (gap 2003–2008)</t>
  </si>
  <si>
    <t>Targets plus carries divided by snaps played — how efficiently a role converts playing time into opportunity. A back who touches the ball on a third of his snaps is used very differently from one who blocks on most of them.</t>
  </si>
  <si>
    <t>Stored column</t>
  </si>
  <si>
    <t>Rows with data</t>
  </si>
  <si>
    <t>% of all stat lines</t>
  </si>
  <si>
    <t>First season with data</t>
  </si>
  <si>
    <t>Last season with data</t>
  </si>
  <si>
    <t>Registry window</t>
  </si>
  <si>
    <t>—</t>
  </si>
  <si>
    <t>VORP — Value Over Replacement</t>
  </si>
  <si>
    <t>Not a percentile score: a points difference. Pool = qualified players at the position (games ≥ max(2, 35% of the window)). Replacement level is the MEAN of 3 players centred on the replacement rank, so one outlier week cannot move the baseline. Expected VORP is the identical calculation on expected points.</t>
  </si>
  <si>
    <t>Step</t>
  </si>
  <si>
    <t>Definition</t>
  </si>
  <si>
    <t>1. Replacement rank</t>
  </si>
  <si>
    <t>From the league config: dedicated starters + that position's share of the flex. Superflex credits QB.</t>
  </si>
  <si>
    <t xml:space="preserve">   default 12-team</t>
  </si>
  <si>
    <t>QB 12  ·  RB 28  ·  WR 42  ·  TE 14</t>
  </si>
  <si>
    <t>2. Replacement PPG</t>
  </si>
  <si>
    <t>Mean fantasy PPG of the 3 players centred on that rank</t>
  </si>
  <si>
    <t>3. VORP per game</t>
  </si>
  <si>
    <t>player PPG − replacement PPG</t>
  </si>
  <si>
    <t>4. VORP (season)</t>
  </si>
  <si>
    <t>VORP per game × games played</t>
  </si>
  <si>
    <t>Fantasy Opportunity Rating (FOR) — 0 to 100</t>
  </si>
  <si>
    <t>How much of the offense runs through a player, regardless of what it produced. Every input becomes a mid-rank percentile within its own position pool; the score is the weighted mean of those percentiles × 100. Returns blank rather than a renormalised score when expected points are unavailable.</t>
  </si>
  <si>
    <t>Input</t>
  </si>
  <si>
    <t>Weight</t>
  </si>
  <si>
    <t>Applies to</t>
  </si>
  <si>
    <t>Note</t>
  </si>
  <si>
    <t>Expected fantasy PPG</t>
  </si>
  <si>
    <t>All</t>
  </si>
  <si>
    <t>Required — no score without it</t>
  </si>
  <si>
    <t>Pass attempts / game</t>
  </si>
  <si>
    <t>Carries / game</t>
  </si>
  <si>
    <t>Opportunity share</t>
  </si>
  <si>
    <t>carries + targets as a share of the team's</t>
  </si>
  <si>
    <t>Carries inside 10 / game</t>
  </si>
  <si>
    <t>Route participation</t>
  </si>
  <si>
    <t>Target share</t>
  </si>
  <si>
    <t>Air yards share</t>
  </si>
  <si>
    <t>Buy Low — Positive-Regression Index — 0 to 100</t>
  </si>
  <si>
    <t>High when a player is scoring less than his usage is worth, is touchdown-starved, and is still cheap. Inverted inputs score high when the raw value is LOW. Requires points-over-expected; without it, no score.</t>
  </si>
  <si>
    <t>Points over expected / game</t>
  </si>
  <si>
    <t>Inverted</t>
  </si>
  <si>
    <t>Underproducing the opportunity</t>
  </si>
  <si>
    <t>Normal</t>
  </si>
  <si>
    <t>The opportunity must be real</t>
  </si>
  <si>
    <t>TDs over expected / game</t>
  </si>
  <si>
    <t>Touchdown-starved</t>
  </si>
  <si>
    <t>Still cheap</t>
  </si>
  <si>
    <t>Sell High — Sell-High Index — 0 to 100</t>
  </si>
  <si>
    <t>High when a player is outscoring his usage on touchdown luck and above-baseline efficiency while his share of the offense is already shrinking.</t>
  </si>
  <si>
    <t>Outscoring the opportunity</t>
  </si>
  <si>
    <t>Touchdown luck</t>
  </si>
  <si>
    <t>Efficiency vs career baseline</t>
  </si>
  <si>
    <t>Points per opportunity this window minus the player's own rate across all earlier seasons (needs 50+ prior opportunities)</t>
  </si>
  <si>
    <t>Usage trend</t>
  </si>
  <si>
    <t>2nd half of window − 1st half, on opportunity share. QBs use the relative change in attempts / game</t>
  </si>
  <si>
    <t>nflverse loader</t>
  </si>
  <si>
    <t>Status</t>
  </si>
  <si>
    <t>Supplies</t>
  </si>
  <si>
    <t>Notes</t>
  </si>
  <si>
    <t>load_player_stats</t>
  </si>
  <si>
    <t>In use</t>
  </si>
  <si>
    <t>The box score and the three stored fantasy-point columns</t>
  </si>
  <si>
    <t>1999–</t>
  </si>
  <si>
    <t>load_pbp</t>
  </si>
  <si>
    <t>EPA, CPOE, air yards, YAC, red-zone and inside-10/5/2 carries, unrealized air yards, target depth buckets</t>
  </si>
  <si>
    <t>Targets unattributable 2003–2008</t>
  </si>
  <si>
    <t>load_schedules</t>
  </si>
  <si>
    <t>Games, kickoff, betting lines, roof/surface</t>
  </si>
  <si>
    <t>Forward lines — no odds API needed</t>
  </si>
  <si>
    <t>load_players</t>
  </si>
  <si>
    <t>Bio, headshots, the PFR id crosswalk</t>
  </si>
  <si>
    <t>all</t>
  </si>
  <si>
    <t>load_teams</t>
  </si>
  <si>
    <t>Team identity</t>
  </si>
  <si>
    <t>36 codes published, only the 32 that play are kept</t>
  </si>
  <si>
    <t>load_ff_opportunity</t>
  </si>
  <si>
    <t>9 expected components + market/opportunity/rush shares</t>
  </si>
  <si>
    <t>2006– (2009– stored)</t>
  </si>
  <si>
    <t>159 columns published; we take 12</t>
  </si>
  <si>
    <t>load_snap_counts</t>
  </si>
  <si>
    <t>Snap count and snap share</t>
  </si>
  <si>
    <t>2013–</t>
  </si>
  <si>
    <t>PFR; 2012 file is empty upstream</t>
  </si>
  <si>
    <t>load_participation</t>
  </si>
  <si>
    <t>Routes run, route participation</t>
  </si>
  <si>
    <t>2016–</t>
  </si>
  <si>
    <t>Lags one season — FTN delivers after the postseason. NOT discontinued</t>
  </si>
  <si>
    <t>load_depth_charts</t>
  </si>
  <si>
    <t>Depth chart current state</t>
  </si>
  <si>
    <t>2001–</t>
  </si>
  <si>
    <t>load_ff_rankings</t>
  </si>
  <si>
    <t>Consensus ECR + dispersion</t>
  </si>
  <si>
    <t>current</t>
  </si>
  <si>
    <t>Rankings, never projections</t>
  </si>
  <si>
    <t>load_nextgen_stats</t>
  </si>
  <si>
    <t>NEW — in use</t>
  </si>
  <si>
    <t>23 tracking-derived columns across passing, receiving, rushing</t>
  </si>
  <si>
    <t>Qualified players only; weekly rows are a biased subset</t>
  </si>
  <si>
    <t>load_pfr_advstats</t>
  </si>
  <si>
    <t>Not used</t>
  </si>
  <si>
    <t>Drops, broken tackles, yards before/after contact, QB pressure and blitz counts</t>
  </si>
  <si>
    <t>2018–</t>
  </si>
  <si>
    <t>Best remaining free source. Keys on pfr_player_id — the crosswalk already exists in ingest_usage.py</t>
  </si>
  <si>
    <t>load_injuries</t>
  </si>
  <si>
    <t>Weekly injury report and practice status</t>
  </si>
  <si>
    <t>2009–</t>
  </si>
  <si>
    <t>Would let boards mark why a usage line collapsed</t>
  </si>
  <si>
    <t>load_ftn_charting</t>
  </si>
  <si>
    <t>Play-level charting — screens, play action, motion</t>
  </si>
  <si>
    <t>2022–</t>
  </si>
  <si>
    <t>Short history, play grain</t>
  </si>
  <si>
    <t>load_team_stats</t>
  </si>
  <si>
    <t>Team-level weekly aggregates</t>
  </si>
  <si>
    <t>We compute team totals from player rows today</t>
  </si>
  <si>
    <t>load_combine</t>
  </si>
  <si>
    <t>Combine measurables and testing</t>
  </si>
  <si>
    <t>Dynasty / rookie angle</t>
  </si>
  <si>
    <t>load_draft_picks</t>
  </si>
  <si>
    <t>Draft capital</t>
  </si>
  <si>
    <t>1980–</t>
  </si>
  <si>
    <t>Draft capital is a strong rookie usage predictor</t>
  </si>
  <si>
    <t>load_contracts</t>
  </si>
  <si>
    <t>Contract values and structure</t>
  </si>
  <si>
    <t>load_rosters_weekly</t>
  </si>
  <si>
    <t>Weekly roster status</t>
  </si>
  <si>
    <t>NFL NGS official API</t>
  </si>
  <si>
    <t>Unavailable</t>
  </si>
  <si>
    <t>The same metrics, first-party</t>
  </si>
  <si>
    <t>docs.ngs.nfl.com is a credentialed club/partner portal, no open signup</t>
  </si>
  <si>
    <t>NGS raw tracking data</t>
  </si>
  <si>
    <t>Player x/y at 10Hz</t>
  </si>
  <si>
    <t>NFL/AWS held; released in slices for the Big Data Bowl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</si>
</sst>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5"/>
      <color rgb="FF1F2430"/>
      <name val="Arial"/>
      <family val="2"/>
    </font>
    <font>
      <i/>
      <sz val="9"/>
      <color rgb="FF6B7280"/>
      <name val="Arial"/>
      <family val="2"/>
    </font>
    <font>
      <b/>
      <sz val="11"/>
      <color rgb="FF1F2430"/>
      <name val="Arial"/>
      <family val="2"/>
    </font>
    <font>
      <b/>
      <sz val="10"/>
      <color rgb="FF1F2430"/>
      <name val="Arial"/>
      <family val="2"/>
    </font>
    <font>
      <sz val="10"/>
      <color rgb="FF1F2430"/>
      <name val="Arial"/>
      <family val="2"/>
    </font>
    <font>
      <b/>
      <sz val="10"/>
      <color rgb="FFFFFFFF"/>
      <name val="Arial"/>
      <family val="2"/>
    </font>
    <font>
      <b/>
      <sz val="12"/>
      <color rgb="FF1F2430"/>
      <name val="Arial"/>
      <family val="2"/>
    </font>
  </fonts>
  <fills count="7">
    <fill>
      <patternFill patternType="none"/>
    </fill>
    <fill>
      <patternFill patternType="gray125"/>
    </fill>
    <fill>
      <patternFill patternType="solid">
        <fgColor rgb="FF1F2430"/>
      </patternFill>
    </fill>
    <fill>
      <patternFill patternType="solid">
        <fgColor rgb="FFF5F6F8"/>
      </patternFill>
    </fill>
    <fill>
      <patternFill patternType="solid">
        <fgColor rgb="FFFFF8E1"/>
      </patternFill>
    </fill>
    <fill>
      <patternFill patternType="solid">
        <fgColor rgb="FFE8F5E9"/>
      </patternFill>
    </fill>
    <fill>
      <patternFill patternType="solid">
        <fgColor rgb="FFFDECEA"/>
      </patternFill>
    </fill>
  </fills>
  <borders count="2">
    <border>
      <left/>
      <right/>
      <top/>
      <bottom/>
      <diagonal/>
    </border>
    <border>
      <left style="thin">
        <color rgb="FFD5D8DE"/>
      </left>
      <right style="thin">
        <color rgb="FFD5D8DE"/>
      </right>
      <top style="thin">
        <color rgb="FFD5D8DE"/>
      </top>
      <bottom style="thin">
        <color rgb="FFD5D8DE"/>
      </bottom>
      <diagonal/>
    </border>
  </borders>
  <cellStyleXfs count="1">
    <xf numFmtId="0" fontId="0" fillId="0" borderId="0"/>
  </cellStyleXfs>
  <cellXfs count="35">
    <xf numFmtId="0" fontId="0" fillId="0" borderId="0" xfId="0"/>
    <xf numFmtId="0" fontId="2" fillId="0" borderId="0" xfId="0" applyFont="1"/>
    <xf numFmtId="0" fontId="4" fillId="0" borderId="0" xfId="0" applyFont="1" applyAlignment="1">
      <alignment vertical="top"/>
    </xf>
    <xf numFmtId="0" fontId="5" fillId="0" borderId="0" xfId="0" applyFont="1"/>
    <xf numFmtId="0" fontId="4" fillId="0" borderId="0" xfId="0" applyFont="1"/>
    <xf numFmtId="0" fontId="6" fillId="2" borderId="1" xfId="0" applyFont="1" applyFill="1" applyBorder="1" applyAlignment="1">
      <alignment horizontal="left" vertical="center" wrapText="1"/>
    </xf>
    <xf numFmtId="0" fontId="5" fillId="3" borderId="1" xfId="0" applyFont="1" applyFill="1" applyBorder="1" applyAlignment="1">
      <alignment vertical="top"/>
    </xf>
    <xf numFmtId="0" fontId="5" fillId="3" borderId="1" xfId="0" applyFont="1" applyFill="1" applyBorder="1" applyAlignment="1">
      <alignment vertical="top" wrapText="1"/>
    </xf>
    <xf numFmtId="0" fontId="5" fillId="0" borderId="1" xfId="0" applyFont="1" applyBorder="1" applyAlignment="1">
      <alignment vertical="top"/>
    </xf>
    <xf numFmtId="0" fontId="5" fillId="0" borderId="1" xfId="0" applyFont="1" applyBorder="1" applyAlignment="1">
      <alignment vertical="top" wrapText="1"/>
    </xf>
    <xf numFmtId="0" fontId="5" fillId="4" borderId="1" xfId="0" applyFont="1" applyFill="1" applyBorder="1" applyAlignment="1">
      <alignment vertical="top"/>
    </xf>
    <xf numFmtId="0" fontId="5" fillId="4" borderId="1" xfId="0" applyFont="1" applyFill="1" applyBorder="1" applyAlignment="1">
      <alignment vertical="top" wrapText="1"/>
    </xf>
    <xf numFmtId="0" fontId="5" fillId="5" borderId="1" xfId="0" applyFont="1" applyFill="1" applyBorder="1" applyAlignment="1">
      <alignment vertical="top"/>
    </xf>
    <xf numFmtId="0" fontId="5" fillId="5" borderId="1" xfId="0" applyFont="1" applyFill="1" applyBorder="1" applyAlignment="1">
      <alignment vertical="top" wrapText="1"/>
    </xf>
    <xf numFmtId="0" fontId="6" fillId="2" borderId="1" xfId="0" applyFont="1" applyFill="1" applyBorder="1" applyAlignment="1">
      <alignment vertical="center" wrapText="1"/>
    </xf>
    <xf numFmtId="0" fontId="5" fillId="3" borderId="1" xfId="0" applyFont="1" applyFill="1" applyBorder="1"/>
    <xf numFmtId="3" fontId="5" fillId="3" borderId="1" xfId="0" applyNumberFormat="1" applyFont="1" applyFill="1" applyBorder="1"/>
    <xf numFmtId="164" fontId="5" fillId="3" borderId="1" xfId="0" applyNumberFormat="1" applyFont="1" applyFill="1" applyBorder="1"/>
    <xf numFmtId="0" fontId="5" fillId="0" borderId="1" xfId="0" applyFont="1" applyBorder="1"/>
    <xf numFmtId="3" fontId="5" fillId="0" borderId="1" xfId="0" applyNumberFormat="1" applyFont="1" applyBorder="1"/>
    <xf numFmtId="164" fontId="5" fillId="0" borderId="1" xfId="0" applyNumberFormat="1" applyFont="1" applyBorder="1"/>
    <xf numFmtId="0" fontId="5" fillId="5" borderId="1" xfId="0" applyFont="1" applyFill="1" applyBorder="1"/>
    <xf numFmtId="3" fontId="5" fillId="5" borderId="1" xfId="0" applyNumberFormat="1" applyFont="1" applyFill="1" applyBorder="1"/>
    <xf numFmtId="164" fontId="5" fillId="5" borderId="1" xfId="0" applyNumberFormat="1" applyFont="1" applyFill="1" applyBorder="1"/>
    <xf numFmtId="0" fontId="7" fillId="0" borderId="0" xfId="0" applyFont="1"/>
    <xf numFmtId="0" fontId="6" fillId="2" borderId="1" xfId="0" applyFont="1" applyFill="1" applyBorder="1"/>
    <xf numFmtId="9" fontId="5" fillId="0" borderId="1" xfId="0" applyNumberFormat="1" applyFont="1" applyBorder="1" applyAlignment="1">
      <alignment vertical="top"/>
    </xf>
    <xf numFmtId="0" fontId="5" fillId="6" borderId="1" xfId="0" applyFont="1" applyFill="1" applyBorder="1" applyAlignment="1">
      <alignment vertical="top"/>
    </xf>
    <xf numFmtId="0" fontId="5" fillId="6" borderId="1" xfId="0" applyFont="1" applyFill="1" applyBorder="1" applyAlignment="1">
      <alignment vertical="top" wrapText="1"/>
    </xf>
    <xf numFmtId="0" fontId="2" fillId="0" borderId="0" xfId="0" applyFont="1"/>
    <xf numFmtId="0" fontId="0" fillId="0" borderId="0" xfId="0"/>
    <xf numFmtId="0" fontId="5" fillId="0" borderId="0" xfId="0" applyFont="1" applyAlignment="1">
      <alignment vertical="top" wrapText="1"/>
    </xf>
    <xf numFmtId="0" fontId="3" fillId="0" borderId="0" xfId="0" applyFont="1"/>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showGridLines="0" workbookViewId="0">
      <selection activeCell="B13" sqref="B13:F13"/>
    </sheetView>
  </sheetViews>
  <sheetFormatPr baseColWidth="10" defaultColWidth="8.83203125" defaultRowHeight="15" x14ac:dyDescent="0.2"/>
  <cols>
    <col min="1" max="1" width="26" customWidth="1"/>
    <col min="2" max="6" width="20" customWidth="1"/>
  </cols>
  <sheetData>
    <row r="1" spans="1:6" ht="19" x14ac:dyDescent="0.2">
      <c r="A1" s="33" t="s">
        <v>0</v>
      </c>
      <c r="B1" s="30"/>
      <c r="C1" s="30"/>
      <c r="D1" s="30"/>
      <c r="E1" s="30"/>
      <c r="F1" s="30"/>
    </row>
    <row r="2" spans="1:6" x14ac:dyDescent="0.2">
      <c r="A2" s="29" t="s">
        <v>1</v>
      </c>
      <c r="B2" s="30"/>
      <c r="C2" s="30"/>
      <c r="D2" s="30"/>
      <c r="E2" s="30"/>
      <c r="F2" s="30"/>
    </row>
    <row r="4" spans="1:6" x14ac:dyDescent="0.2">
      <c r="A4" s="32" t="s">
        <v>2</v>
      </c>
      <c r="B4" s="30"/>
      <c r="C4" s="30"/>
      <c r="D4" s="30"/>
      <c r="E4" s="30"/>
      <c r="F4" s="30"/>
    </row>
    <row r="5" spans="1:6" ht="30" customHeight="1" x14ac:dyDescent="0.2">
      <c r="A5" s="2" t="s">
        <v>3</v>
      </c>
      <c r="B5" s="31" t="s">
        <v>4</v>
      </c>
      <c r="C5" s="30"/>
      <c r="D5" s="30"/>
      <c r="E5" s="30"/>
      <c r="F5" s="30"/>
    </row>
    <row r="6" spans="1:6" ht="30" customHeight="1" x14ac:dyDescent="0.2">
      <c r="A6" s="2" t="s">
        <v>5</v>
      </c>
      <c r="B6" s="31" t="s">
        <v>6</v>
      </c>
      <c r="C6" s="30"/>
      <c r="D6" s="30"/>
      <c r="E6" s="30"/>
      <c r="F6" s="30"/>
    </row>
    <row r="7" spans="1:6" ht="30" customHeight="1" x14ac:dyDescent="0.2">
      <c r="A7" s="2" t="s">
        <v>7</v>
      </c>
      <c r="B7" s="31" t="s">
        <v>8</v>
      </c>
      <c r="C7" s="30"/>
      <c r="D7" s="30"/>
      <c r="E7" s="30"/>
      <c r="F7" s="30"/>
    </row>
    <row r="8" spans="1:6" ht="30" customHeight="1" x14ac:dyDescent="0.2">
      <c r="A8" s="2" t="s">
        <v>9</v>
      </c>
      <c r="B8" s="31" t="s">
        <v>10</v>
      </c>
      <c r="C8" s="30"/>
      <c r="D8" s="30"/>
      <c r="E8" s="30"/>
      <c r="F8" s="30"/>
    </row>
    <row r="10" spans="1:6" x14ac:dyDescent="0.2">
      <c r="A10" s="32" t="s">
        <v>11</v>
      </c>
      <c r="B10" s="30"/>
      <c r="C10" s="30"/>
      <c r="D10" s="30"/>
      <c r="E10" s="30"/>
      <c r="F10" s="30"/>
    </row>
    <row r="11" spans="1:6" ht="30" customHeight="1" x14ac:dyDescent="0.2">
      <c r="A11" s="2" t="s">
        <v>12</v>
      </c>
      <c r="B11" s="31" t="s">
        <v>13</v>
      </c>
      <c r="C11" s="30"/>
      <c r="D11" s="30"/>
      <c r="E11" s="30"/>
      <c r="F11" s="30"/>
    </row>
    <row r="12" spans="1:6" ht="30" customHeight="1" x14ac:dyDescent="0.2">
      <c r="A12" s="2" t="s">
        <v>14</v>
      </c>
      <c r="B12" s="31" t="s">
        <v>15</v>
      </c>
      <c r="C12" s="30"/>
      <c r="D12" s="30"/>
      <c r="E12" s="30"/>
      <c r="F12" s="30"/>
    </row>
    <row r="13" spans="1:6" ht="30" customHeight="1" x14ac:dyDescent="0.2">
      <c r="A13" s="2" t="s">
        <v>16</v>
      </c>
      <c r="B13" s="31" t="s">
        <v>17</v>
      </c>
      <c r="C13" s="30"/>
      <c r="D13" s="30"/>
      <c r="E13" s="30"/>
      <c r="F13" s="30"/>
    </row>
    <row r="15" spans="1:6" x14ac:dyDescent="0.2">
      <c r="A15" s="32" t="s">
        <v>18</v>
      </c>
      <c r="B15" s="30"/>
      <c r="C15" s="30"/>
      <c r="D15" s="30"/>
      <c r="E15" s="30"/>
      <c r="F15" s="30"/>
    </row>
    <row r="16" spans="1:6" x14ac:dyDescent="0.2">
      <c r="A16" s="3" t="s">
        <v>19</v>
      </c>
      <c r="B16" s="4">
        <f>COUNTA('All Stats'!A2:A200)</f>
        <v>104</v>
      </c>
    </row>
    <row r="17" spans="1:2" x14ac:dyDescent="0.2">
      <c r="A17" s="3" t="s">
        <v>20</v>
      </c>
      <c r="B17" s="4">
        <f>COUNTIF('All Stats'!F2:F200,"NGS*")</f>
        <v>23</v>
      </c>
    </row>
    <row r="18" spans="1:2" x14ac:dyDescent="0.2">
      <c r="A18" s="3" t="s">
        <v>21</v>
      </c>
      <c r="B18" s="4">
        <f>COUNTIF('All Stats'!H2:H200,"Stored")</f>
        <v>80</v>
      </c>
    </row>
    <row r="19" spans="1:2" x14ac:dyDescent="0.2">
      <c r="A19" s="3" t="s">
        <v>22</v>
      </c>
      <c r="B19" s="4">
        <f>COUNTIF('All Stats'!H2:H200,"Computed")</f>
        <v>24</v>
      </c>
    </row>
    <row r="20" spans="1:2" x14ac:dyDescent="0.2">
      <c r="A20" s="3" t="s">
        <v>23</v>
      </c>
      <c r="B20" s="4">
        <f>COUNTIF('All Stats'!I2:I200,"Modelled")</f>
        <v>27</v>
      </c>
    </row>
    <row r="22" spans="1:2" x14ac:dyDescent="0.2">
      <c r="A22" s="1" t="s">
        <v>24</v>
      </c>
    </row>
  </sheetData>
  <mergeCells count="12">
    <mergeCell ref="A15:F15"/>
    <mergeCell ref="B13:F13"/>
    <mergeCell ref="A1:F1"/>
    <mergeCell ref="B11:F11"/>
    <mergeCell ref="B5:F5"/>
    <mergeCell ref="A4:F4"/>
    <mergeCell ref="B8:F8"/>
    <mergeCell ref="A2:F2"/>
    <mergeCell ref="B12:F12"/>
    <mergeCell ref="B7:F7"/>
    <mergeCell ref="A10:F10"/>
    <mergeCell ref="B6:F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5"/>
  <sheetViews>
    <sheetView tabSelected="1" zoomScale="142" workbookViewId="0">
      <pane xSplit="2" ySplit="1" topLeftCell="M52" activePane="bottomRight" state="frozen"/>
      <selection pane="topRight"/>
      <selection pane="bottomLeft"/>
      <selection pane="bottomRight" activeCell="M99" sqref="M99"/>
    </sheetView>
  </sheetViews>
  <sheetFormatPr baseColWidth="10" defaultColWidth="8.83203125" defaultRowHeight="15" x14ac:dyDescent="0.2"/>
  <cols>
    <col min="1" max="1" width="34" customWidth="1"/>
    <col min="2" max="2" width="40" customWidth="1"/>
    <col min="3" max="3" width="30" customWidth="1"/>
    <col min="4" max="4" width="12" customWidth="1"/>
    <col min="5" max="5" width="10" customWidth="1"/>
    <col min="6" max="6" width="38" customWidth="1"/>
    <col min="7" max="7" width="18" customWidth="1"/>
    <col min="8" max="9" width="11" customWidth="1"/>
    <col min="10" max="10" width="34" customWidth="1"/>
    <col min="11" max="11" width="24" customWidth="1"/>
    <col min="12" max="12" width="17" customWidth="1"/>
    <col min="13" max="13" width="88" customWidth="1"/>
  </cols>
  <sheetData>
    <row r="1" spans="1:13" ht="30" customHeight="1" x14ac:dyDescent="0.2">
      <c r="A1" s="5" t="s">
        <v>25</v>
      </c>
      <c r="B1" s="5" t="s">
        <v>26</v>
      </c>
      <c r="C1" s="5" t="s">
        <v>27</v>
      </c>
      <c r="D1" s="5" t="s">
        <v>28</v>
      </c>
      <c r="E1" s="5" t="s">
        <v>29</v>
      </c>
      <c r="F1" s="5" t="s">
        <v>30</v>
      </c>
      <c r="G1" s="5" t="s">
        <v>31</v>
      </c>
      <c r="H1" s="5" t="s">
        <v>32</v>
      </c>
      <c r="I1" s="5" t="s">
        <v>33</v>
      </c>
      <c r="J1" s="5" t="s">
        <v>34</v>
      </c>
      <c r="K1" s="5" t="s">
        <v>35</v>
      </c>
      <c r="L1" s="5" t="s">
        <v>36</v>
      </c>
      <c r="M1" s="5" t="s">
        <v>37</v>
      </c>
    </row>
    <row r="2" spans="1:13" x14ac:dyDescent="0.2">
      <c r="A2" s="8" t="s">
        <v>352</v>
      </c>
      <c r="B2" s="8" t="s">
        <v>353</v>
      </c>
      <c r="C2" s="8" t="s">
        <v>354</v>
      </c>
      <c r="D2" s="8" t="s">
        <v>327</v>
      </c>
      <c r="E2" s="8" t="s">
        <v>352</v>
      </c>
      <c r="F2" s="8" t="s">
        <v>72</v>
      </c>
      <c r="G2" s="8" t="s">
        <v>329</v>
      </c>
      <c r="H2" s="8" t="s">
        <v>73</v>
      </c>
      <c r="I2" s="8" t="s">
        <v>46</v>
      </c>
      <c r="J2" s="8" t="s">
        <v>176</v>
      </c>
      <c r="K2" s="8" t="s">
        <v>90</v>
      </c>
      <c r="L2" s="8" t="s">
        <v>49</v>
      </c>
      <c r="M2" s="9" t="s">
        <v>355</v>
      </c>
    </row>
    <row r="3" spans="1:13" ht="42" x14ac:dyDescent="0.2">
      <c r="A3" s="12" t="s">
        <v>204</v>
      </c>
      <c r="B3" s="12" t="s">
        <v>205</v>
      </c>
      <c r="C3" s="12" t="s">
        <v>206</v>
      </c>
      <c r="D3" s="12" t="s">
        <v>160</v>
      </c>
      <c r="E3" s="12" t="s">
        <v>207</v>
      </c>
      <c r="F3" s="12" t="s">
        <v>208</v>
      </c>
      <c r="G3" s="12" t="s">
        <v>162</v>
      </c>
      <c r="H3" s="12" t="s">
        <v>73</v>
      </c>
      <c r="I3" s="12" t="s">
        <v>46</v>
      </c>
      <c r="J3" s="12" t="s">
        <v>176</v>
      </c>
      <c r="K3" s="12" t="s">
        <v>209</v>
      </c>
      <c r="L3" s="12" t="s">
        <v>49</v>
      </c>
      <c r="M3" s="13" t="s">
        <v>210</v>
      </c>
    </row>
    <row r="4" spans="1:13" x14ac:dyDescent="0.2">
      <c r="A4" s="6" t="s">
        <v>356</v>
      </c>
      <c r="B4" s="6" t="s">
        <v>357</v>
      </c>
      <c r="C4" s="6" t="s">
        <v>354</v>
      </c>
      <c r="D4" s="6" t="s">
        <v>327</v>
      </c>
      <c r="E4" s="6" t="s">
        <v>358</v>
      </c>
      <c r="F4" s="6" t="s">
        <v>72</v>
      </c>
      <c r="G4" s="6" t="s">
        <v>329</v>
      </c>
      <c r="H4" s="6" t="s">
        <v>73</v>
      </c>
      <c r="I4" s="6" t="s">
        <v>46</v>
      </c>
      <c r="J4" s="6" t="s">
        <v>74</v>
      </c>
      <c r="K4" s="6" t="s">
        <v>90</v>
      </c>
      <c r="L4" s="6" t="s">
        <v>49</v>
      </c>
      <c r="M4" s="7" t="s">
        <v>359</v>
      </c>
    </row>
    <row r="5" spans="1:13" ht="28" x14ac:dyDescent="0.2">
      <c r="A5" s="12" t="s">
        <v>211</v>
      </c>
      <c r="B5" s="12" t="s">
        <v>212</v>
      </c>
      <c r="C5" s="12" t="s">
        <v>206</v>
      </c>
      <c r="D5" s="12" t="s">
        <v>160</v>
      </c>
      <c r="E5" s="12" t="s">
        <v>213</v>
      </c>
      <c r="F5" s="12" t="s">
        <v>208</v>
      </c>
      <c r="G5" s="12" t="s">
        <v>162</v>
      </c>
      <c r="H5" s="12" t="s">
        <v>73</v>
      </c>
      <c r="I5" s="12" t="s">
        <v>46</v>
      </c>
      <c r="J5" s="12" t="s">
        <v>176</v>
      </c>
      <c r="K5" s="12" t="s">
        <v>209</v>
      </c>
      <c r="L5" s="12" t="s">
        <v>49</v>
      </c>
      <c r="M5" s="13" t="s">
        <v>214</v>
      </c>
    </row>
    <row r="6" spans="1:13" x14ac:dyDescent="0.2">
      <c r="A6" s="8" t="s">
        <v>360</v>
      </c>
      <c r="B6" s="8" t="s">
        <v>361</v>
      </c>
      <c r="C6" s="8" t="s">
        <v>354</v>
      </c>
      <c r="D6" s="8" t="s">
        <v>327</v>
      </c>
      <c r="E6" s="8" t="s">
        <v>362</v>
      </c>
      <c r="F6" s="8" t="s">
        <v>72</v>
      </c>
      <c r="G6" s="8" t="s">
        <v>329</v>
      </c>
      <c r="H6" s="8" t="s">
        <v>73</v>
      </c>
      <c r="I6" s="8" t="s">
        <v>46</v>
      </c>
      <c r="J6" s="8" t="s">
        <v>176</v>
      </c>
      <c r="K6" s="8" t="s">
        <v>90</v>
      </c>
      <c r="L6" s="8" t="s">
        <v>49</v>
      </c>
      <c r="M6" s="9" t="s">
        <v>363</v>
      </c>
    </row>
    <row r="7" spans="1:13" ht="28" x14ac:dyDescent="0.2">
      <c r="A7" s="12" t="s">
        <v>430</v>
      </c>
      <c r="B7" s="12" t="s">
        <v>431</v>
      </c>
      <c r="C7" s="12" t="s">
        <v>432</v>
      </c>
      <c r="D7" s="12" t="s">
        <v>327</v>
      </c>
      <c r="E7" s="12" t="s">
        <v>433</v>
      </c>
      <c r="F7" s="12" t="s">
        <v>208</v>
      </c>
      <c r="G7" s="12" t="s">
        <v>434</v>
      </c>
      <c r="H7" s="12" t="s">
        <v>73</v>
      </c>
      <c r="I7" s="12" t="s">
        <v>46</v>
      </c>
      <c r="J7" s="12" t="s">
        <v>176</v>
      </c>
      <c r="K7" s="12" t="s">
        <v>209</v>
      </c>
      <c r="L7" s="12" t="s">
        <v>49</v>
      </c>
      <c r="M7" s="13" t="s">
        <v>435</v>
      </c>
    </row>
    <row r="8" spans="1:13" ht="28" x14ac:dyDescent="0.2">
      <c r="A8" s="12" t="s">
        <v>215</v>
      </c>
      <c r="B8" s="12" t="s">
        <v>216</v>
      </c>
      <c r="C8" s="12" t="s">
        <v>206</v>
      </c>
      <c r="D8" s="12" t="s">
        <v>160</v>
      </c>
      <c r="E8" s="12" t="s">
        <v>217</v>
      </c>
      <c r="F8" s="12" t="s">
        <v>208</v>
      </c>
      <c r="G8" s="12" t="s">
        <v>162</v>
      </c>
      <c r="H8" s="12" t="s">
        <v>73</v>
      </c>
      <c r="I8" s="12" t="s">
        <v>46</v>
      </c>
      <c r="J8" s="12" t="s">
        <v>176</v>
      </c>
      <c r="K8" s="12" t="s">
        <v>209</v>
      </c>
      <c r="L8" s="12" t="s">
        <v>49</v>
      </c>
      <c r="M8" s="13" t="s">
        <v>218</v>
      </c>
    </row>
    <row r="9" spans="1:13" x14ac:dyDescent="0.2">
      <c r="A9" s="6" t="s">
        <v>157</v>
      </c>
      <c r="B9" s="6" t="s">
        <v>158</v>
      </c>
      <c r="C9" s="6" t="s">
        <v>159</v>
      </c>
      <c r="D9" s="6" t="s">
        <v>160</v>
      </c>
      <c r="E9" s="6" t="s">
        <v>161</v>
      </c>
      <c r="F9" s="6" t="s">
        <v>72</v>
      </c>
      <c r="G9" s="6" t="s">
        <v>162</v>
      </c>
      <c r="H9" s="6" t="s">
        <v>73</v>
      </c>
      <c r="I9" s="6" t="s">
        <v>46</v>
      </c>
      <c r="J9" s="6" t="s">
        <v>74</v>
      </c>
      <c r="K9" s="6" t="s">
        <v>48</v>
      </c>
      <c r="L9" s="6" t="s">
        <v>49</v>
      </c>
      <c r="M9" s="7" t="s">
        <v>163</v>
      </c>
    </row>
    <row r="10" spans="1:13" x14ac:dyDescent="0.2">
      <c r="A10" s="6" t="s">
        <v>239</v>
      </c>
      <c r="B10" s="6" t="s">
        <v>240</v>
      </c>
      <c r="C10" s="6" t="s">
        <v>241</v>
      </c>
      <c r="D10" s="6" t="s">
        <v>242</v>
      </c>
      <c r="E10" s="6" t="s">
        <v>243</v>
      </c>
      <c r="F10" s="6" t="s">
        <v>72</v>
      </c>
      <c r="G10" s="6" t="s">
        <v>244</v>
      </c>
      <c r="H10" s="6" t="s">
        <v>73</v>
      </c>
      <c r="I10" s="6" t="s">
        <v>46</v>
      </c>
      <c r="J10" s="6" t="s">
        <v>74</v>
      </c>
      <c r="K10" s="6" t="s">
        <v>48</v>
      </c>
      <c r="L10" s="6" t="s">
        <v>49</v>
      </c>
      <c r="M10" s="7" t="s">
        <v>245</v>
      </c>
    </row>
    <row r="11" spans="1:13" x14ac:dyDescent="0.2">
      <c r="A11" s="8" t="s">
        <v>254</v>
      </c>
      <c r="B11" s="8" t="s">
        <v>255</v>
      </c>
      <c r="C11" s="8" t="s">
        <v>256</v>
      </c>
      <c r="D11" s="8" t="s">
        <v>242</v>
      </c>
      <c r="E11" s="8" t="s">
        <v>257</v>
      </c>
      <c r="F11" s="8" t="s">
        <v>72</v>
      </c>
      <c r="G11" s="8" t="s">
        <v>258</v>
      </c>
      <c r="H11" s="8" t="s">
        <v>73</v>
      </c>
      <c r="I11" s="8" t="s">
        <v>46</v>
      </c>
      <c r="J11" s="8" t="s">
        <v>74</v>
      </c>
      <c r="K11" s="8" t="s">
        <v>48</v>
      </c>
      <c r="L11" s="8" t="s">
        <v>49</v>
      </c>
      <c r="M11" s="9" t="s">
        <v>259</v>
      </c>
    </row>
    <row r="12" spans="1:13" x14ac:dyDescent="0.2">
      <c r="A12" s="6" t="s">
        <v>260</v>
      </c>
      <c r="B12" s="6" t="s">
        <v>261</v>
      </c>
      <c r="C12" s="6" t="s">
        <v>256</v>
      </c>
      <c r="D12" s="6" t="s">
        <v>242</v>
      </c>
      <c r="E12" s="6" t="s">
        <v>262</v>
      </c>
      <c r="F12" s="6" t="s">
        <v>72</v>
      </c>
      <c r="G12" s="6" t="s">
        <v>258</v>
      </c>
      <c r="H12" s="6" t="s">
        <v>73</v>
      </c>
      <c r="I12" s="6" t="s">
        <v>46</v>
      </c>
      <c r="J12" s="6" t="s">
        <v>74</v>
      </c>
      <c r="K12" s="6" t="s">
        <v>48</v>
      </c>
      <c r="L12" s="6" t="s">
        <v>49</v>
      </c>
      <c r="M12" s="7" t="s">
        <v>263</v>
      </c>
    </row>
    <row r="13" spans="1:13" x14ac:dyDescent="0.2">
      <c r="A13" s="8" t="s">
        <v>264</v>
      </c>
      <c r="B13" s="8" t="s">
        <v>265</v>
      </c>
      <c r="C13" s="8" t="s">
        <v>256</v>
      </c>
      <c r="D13" s="8" t="s">
        <v>242</v>
      </c>
      <c r="E13" s="8" t="s">
        <v>266</v>
      </c>
      <c r="F13" s="8" t="s">
        <v>72</v>
      </c>
      <c r="G13" s="8" t="s">
        <v>258</v>
      </c>
      <c r="H13" s="8" t="s">
        <v>73</v>
      </c>
      <c r="I13" s="8" t="s">
        <v>46</v>
      </c>
      <c r="J13" s="8" t="s">
        <v>74</v>
      </c>
      <c r="K13" s="8" t="s">
        <v>48</v>
      </c>
      <c r="L13" s="8" t="s">
        <v>49</v>
      </c>
      <c r="M13" s="9" t="s">
        <v>267</v>
      </c>
    </row>
    <row r="14" spans="1:13" ht="28" x14ac:dyDescent="0.2">
      <c r="A14" s="12" t="s">
        <v>294</v>
      </c>
      <c r="B14" s="12" t="s">
        <v>295</v>
      </c>
      <c r="C14" s="12" t="s">
        <v>296</v>
      </c>
      <c r="D14" s="12" t="s">
        <v>242</v>
      </c>
      <c r="E14" s="12" t="s">
        <v>297</v>
      </c>
      <c r="F14" s="12" t="s">
        <v>208</v>
      </c>
      <c r="G14" s="12" t="s">
        <v>298</v>
      </c>
      <c r="H14" s="12" t="s">
        <v>73</v>
      </c>
      <c r="I14" s="12" t="s">
        <v>89</v>
      </c>
      <c r="J14" s="12" t="s">
        <v>176</v>
      </c>
      <c r="K14" s="12" t="s">
        <v>209</v>
      </c>
      <c r="L14" s="12" t="s">
        <v>49</v>
      </c>
      <c r="M14" s="13" t="s">
        <v>299</v>
      </c>
    </row>
    <row r="15" spans="1:13" x14ac:dyDescent="0.2">
      <c r="A15" s="12" t="s">
        <v>436</v>
      </c>
      <c r="B15" s="12" t="s">
        <v>437</v>
      </c>
      <c r="C15" s="12" t="s">
        <v>432</v>
      </c>
      <c r="D15" s="12" t="s">
        <v>327</v>
      </c>
      <c r="E15" s="12" t="s">
        <v>438</v>
      </c>
      <c r="F15" s="12" t="s">
        <v>208</v>
      </c>
      <c r="G15" s="12" t="s">
        <v>434</v>
      </c>
      <c r="H15" s="12" t="s">
        <v>73</v>
      </c>
      <c r="I15" s="12" t="s">
        <v>46</v>
      </c>
      <c r="J15" s="12" t="s">
        <v>176</v>
      </c>
      <c r="K15" s="12" t="s">
        <v>209</v>
      </c>
      <c r="L15" s="12" t="s">
        <v>49</v>
      </c>
      <c r="M15" s="13" t="s">
        <v>439</v>
      </c>
    </row>
    <row r="16" spans="1:13" x14ac:dyDescent="0.2">
      <c r="A16" s="12" t="s">
        <v>223</v>
      </c>
      <c r="B16" s="12" t="s">
        <v>224</v>
      </c>
      <c r="C16" s="12" t="s">
        <v>206</v>
      </c>
      <c r="D16" s="12" t="s">
        <v>160</v>
      </c>
      <c r="E16" s="12" t="s">
        <v>225</v>
      </c>
      <c r="F16" s="12" t="s">
        <v>208</v>
      </c>
      <c r="G16" s="12" t="s">
        <v>162</v>
      </c>
      <c r="H16" s="12" t="s">
        <v>73</v>
      </c>
      <c r="I16" s="12" t="s">
        <v>46</v>
      </c>
      <c r="J16" s="12" t="s">
        <v>176</v>
      </c>
      <c r="K16" s="12" t="s">
        <v>209</v>
      </c>
      <c r="L16" s="12" t="s">
        <v>49</v>
      </c>
      <c r="M16" s="13" t="s">
        <v>226</v>
      </c>
    </row>
    <row r="17" spans="1:13" x14ac:dyDescent="0.2">
      <c r="A17" s="8" t="s">
        <v>164</v>
      </c>
      <c r="B17" s="8" t="s">
        <v>165</v>
      </c>
      <c r="C17" s="8" t="s">
        <v>159</v>
      </c>
      <c r="D17" s="8" t="s">
        <v>160</v>
      </c>
      <c r="E17" s="8" t="s">
        <v>166</v>
      </c>
      <c r="F17" s="8" t="s">
        <v>72</v>
      </c>
      <c r="G17" s="8" t="s">
        <v>162</v>
      </c>
      <c r="H17" s="8" t="s">
        <v>73</v>
      </c>
      <c r="I17" s="8" t="s">
        <v>46</v>
      </c>
      <c r="J17" s="8" t="s">
        <v>74</v>
      </c>
      <c r="K17" s="8" t="s">
        <v>48</v>
      </c>
      <c r="L17" s="8" t="s">
        <v>49</v>
      </c>
      <c r="M17" s="9" t="s">
        <v>167</v>
      </c>
    </row>
    <row r="18" spans="1:13" ht="28" x14ac:dyDescent="0.2">
      <c r="A18" s="6" t="s">
        <v>186</v>
      </c>
      <c r="B18" s="6" t="s">
        <v>187</v>
      </c>
      <c r="C18" s="6" t="s">
        <v>188</v>
      </c>
      <c r="D18" s="6" t="s">
        <v>160</v>
      </c>
      <c r="E18" s="6" t="s">
        <v>186</v>
      </c>
      <c r="F18" s="6" t="s">
        <v>72</v>
      </c>
      <c r="G18" s="6" t="s">
        <v>162</v>
      </c>
      <c r="H18" s="6" t="s">
        <v>73</v>
      </c>
      <c r="I18" s="6" t="s">
        <v>46</v>
      </c>
      <c r="J18" s="6" t="s">
        <v>176</v>
      </c>
      <c r="K18" s="6" t="s">
        <v>189</v>
      </c>
      <c r="L18" s="6" t="s">
        <v>49</v>
      </c>
      <c r="M18" s="7" t="s">
        <v>190</v>
      </c>
    </row>
    <row r="19" spans="1:13" ht="28" x14ac:dyDescent="0.2">
      <c r="A19" s="12" t="s">
        <v>219</v>
      </c>
      <c r="B19" s="12" t="s">
        <v>220</v>
      </c>
      <c r="C19" s="12" t="s">
        <v>206</v>
      </c>
      <c r="D19" s="12" t="s">
        <v>160</v>
      </c>
      <c r="E19" s="12" t="s">
        <v>221</v>
      </c>
      <c r="F19" s="12" t="s">
        <v>208</v>
      </c>
      <c r="G19" s="12" t="s">
        <v>162</v>
      </c>
      <c r="H19" s="12" t="s">
        <v>73</v>
      </c>
      <c r="I19" s="12" t="s">
        <v>89</v>
      </c>
      <c r="J19" s="12" t="s">
        <v>176</v>
      </c>
      <c r="K19" s="12" t="s">
        <v>209</v>
      </c>
      <c r="L19" s="12" t="s">
        <v>49</v>
      </c>
      <c r="M19" s="13" t="s">
        <v>222</v>
      </c>
    </row>
    <row r="20" spans="1:13" ht="28" x14ac:dyDescent="0.2">
      <c r="A20" s="12" t="s">
        <v>440</v>
      </c>
      <c r="B20" s="12" t="s">
        <v>441</v>
      </c>
      <c r="C20" s="12" t="s">
        <v>432</v>
      </c>
      <c r="D20" s="12" t="s">
        <v>327</v>
      </c>
      <c r="E20" s="12" t="s">
        <v>442</v>
      </c>
      <c r="F20" s="12" t="s">
        <v>208</v>
      </c>
      <c r="G20" s="12" t="s">
        <v>434</v>
      </c>
      <c r="H20" s="12" t="s">
        <v>73</v>
      </c>
      <c r="I20" s="12" t="s">
        <v>46</v>
      </c>
      <c r="J20" s="12" t="s">
        <v>176</v>
      </c>
      <c r="K20" s="12" t="s">
        <v>209</v>
      </c>
      <c r="L20" s="12" t="s">
        <v>49</v>
      </c>
      <c r="M20" s="13" t="s">
        <v>443</v>
      </c>
    </row>
    <row r="21" spans="1:13" ht="28" x14ac:dyDescent="0.2">
      <c r="A21" s="6" t="s">
        <v>105</v>
      </c>
      <c r="B21" s="6" t="s">
        <v>106</v>
      </c>
      <c r="C21" s="6" t="s">
        <v>107</v>
      </c>
      <c r="D21" s="6" t="s">
        <v>108</v>
      </c>
      <c r="E21" s="6" t="s">
        <v>109</v>
      </c>
      <c r="F21" s="6" t="s">
        <v>110</v>
      </c>
      <c r="G21" s="6" t="s">
        <v>44</v>
      </c>
      <c r="H21" s="6" t="s">
        <v>45</v>
      </c>
      <c r="I21" s="6" t="s">
        <v>46</v>
      </c>
      <c r="J21" s="6" t="s">
        <v>111</v>
      </c>
      <c r="K21" s="6" t="s">
        <v>48</v>
      </c>
      <c r="L21" s="6" t="s">
        <v>49</v>
      </c>
      <c r="M21" s="7" t="s">
        <v>112</v>
      </c>
    </row>
    <row r="22" spans="1:13" ht="28" x14ac:dyDescent="0.2">
      <c r="A22" s="6" t="s">
        <v>463</v>
      </c>
      <c r="B22" s="6" t="s">
        <v>464</v>
      </c>
      <c r="C22" s="6" t="s">
        <v>465</v>
      </c>
      <c r="D22" s="6" t="s">
        <v>466</v>
      </c>
      <c r="E22" s="6" t="s">
        <v>463</v>
      </c>
      <c r="F22" s="6" t="s">
        <v>72</v>
      </c>
      <c r="G22" s="6" t="s">
        <v>44</v>
      </c>
      <c r="H22" s="6" t="s">
        <v>73</v>
      </c>
      <c r="I22" s="6" t="s">
        <v>46</v>
      </c>
      <c r="J22" s="6" t="s">
        <v>74</v>
      </c>
      <c r="K22" s="6" t="s">
        <v>48</v>
      </c>
      <c r="L22" s="6" t="s">
        <v>49</v>
      </c>
      <c r="M22" s="7" t="s">
        <v>467</v>
      </c>
    </row>
    <row r="23" spans="1:13" ht="56" x14ac:dyDescent="0.2">
      <c r="A23" s="8" t="s">
        <v>468</v>
      </c>
      <c r="B23" s="8" t="s">
        <v>469</v>
      </c>
      <c r="C23" s="8" t="s">
        <v>465</v>
      </c>
      <c r="D23" s="8" t="s">
        <v>466</v>
      </c>
      <c r="E23" s="8" t="s">
        <v>470</v>
      </c>
      <c r="F23" s="8" t="s">
        <v>54</v>
      </c>
      <c r="G23" s="8" t="s">
        <v>44</v>
      </c>
      <c r="H23" s="8" t="s">
        <v>45</v>
      </c>
      <c r="I23" s="8" t="s">
        <v>46</v>
      </c>
      <c r="J23" s="8" t="s">
        <v>55</v>
      </c>
      <c r="K23" s="8" t="s">
        <v>48</v>
      </c>
      <c r="L23" s="8" t="s">
        <v>49</v>
      </c>
      <c r="M23" s="9" t="s">
        <v>471</v>
      </c>
    </row>
    <row r="24" spans="1:13" x14ac:dyDescent="0.2">
      <c r="A24" s="10" t="s">
        <v>84</v>
      </c>
      <c r="B24" s="10" t="s">
        <v>85</v>
      </c>
      <c r="C24" s="10" t="s">
        <v>86</v>
      </c>
      <c r="D24" s="10" t="s">
        <v>41</v>
      </c>
      <c r="E24" s="10" t="s">
        <v>87</v>
      </c>
      <c r="F24" s="10" t="s">
        <v>88</v>
      </c>
      <c r="G24" s="10" t="s">
        <v>44</v>
      </c>
      <c r="H24" s="10" t="s">
        <v>73</v>
      </c>
      <c r="I24" s="10" t="s">
        <v>89</v>
      </c>
      <c r="J24" s="10" t="s">
        <v>74</v>
      </c>
      <c r="K24" s="10" t="s">
        <v>90</v>
      </c>
      <c r="L24" s="10" t="s">
        <v>49</v>
      </c>
      <c r="M24" s="11" t="s">
        <v>91</v>
      </c>
    </row>
    <row r="25" spans="1:13" ht="28" x14ac:dyDescent="0.2">
      <c r="A25" s="12" t="s">
        <v>227</v>
      </c>
      <c r="B25" s="12" t="s">
        <v>228</v>
      </c>
      <c r="C25" s="12" t="s">
        <v>206</v>
      </c>
      <c r="D25" s="12" t="s">
        <v>160</v>
      </c>
      <c r="E25" s="12" t="s">
        <v>229</v>
      </c>
      <c r="F25" s="12" t="s">
        <v>208</v>
      </c>
      <c r="G25" s="12" t="s">
        <v>162</v>
      </c>
      <c r="H25" s="12" t="s">
        <v>73</v>
      </c>
      <c r="I25" s="12" t="s">
        <v>89</v>
      </c>
      <c r="J25" s="12" t="s">
        <v>176</v>
      </c>
      <c r="K25" s="12" t="s">
        <v>209</v>
      </c>
      <c r="L25" s="12" t="s">
        <v>49</v>
      </c>
      <c r="M25" s="13" t="s">
        <v>230</v>
      </c>
    </row>
    <row r="26" spans="1:13" ht="28" x14ac:dyDescent="0.2">
      <c r="A26" s="10" t="s">
        <v>97</v>
      </c>
      <c r="B26" s="10" t="s">
        <v>98</v>
      </c>
      <c r="C26" s="10" t="s">
        <v>86</v>
      </c>
      <c r="D26" s="10" t="s">
        <v>41</v>
      </c>
      <c r="E26" s="10" t="s">
        <v>99</v>
      </c>
      <c r="F26" s="10" t="s">
        <v>88</v>
      </c>
      <c r="G26" s="10" t="s">
        <v>44</v>
      </c>
      <c r="H26" s="10" t="s">
        <v>45</v>
      </c>
      <c r="I26" s="10" t="s">
        <v>89</v>
      </c>
      <c r="J26" s="10" t="s">
        <v>95</v>
      </c>
      <c r="K26" s="10" t="s">
        <v>90</v>
      </c>
      <c r="L26" s="10" t="s">
        <v>49</v>
      </c>
      <c r="M26" s="11" t="s">
        <v>100</v>
      </c>
    </row>
    <row r="27" spans="1:13" x14ac:dyDescent="0.2">
      <c r="A27" s="10" t="s">
        <v>92</v>
      </c>
      <c r="B27" s="10" t="s">
        <v>93</v>
      </c>
      <c r="C27" s="10" t="s">
        <v>86</v>
      </c>
      <c r="D27" s="10" t="s">
        <v>41</v>
      </c>
      <c r="E27" s="10" t="s">
        <v>94</v>
      </c>
      <c r="F27" s="10" t="s">
        <v>88</v>
      </c>
      <c r="G27" s="10" t="s">
        <v>44</v>
      </c>
      <c r="H27" s="10" t="s">
        <v>45</v>
      </c>
      <c r="I27" s="10" t="s">
        <v>89</v>
      </c>
      <c r="J27" s="10" t="s">
        <v>95</v>
      </c>
      <c r="K27" s="10" t="s">
        <v>90</v>
      </c>
      <c r="L27" s="10" t="s">
        <v>49</v>
      </c>
      <c r="M27" s="11" t="s">
        <v>96</v>
      </c>
    </row>
    <row r="28" spans="1:13" x14ac:dyDescent="0.2">
      <c r="A28" s="10" t="s">
        <v>191</v>
      </c>
      <c r="B28" s="10" t="s">
        <v>192</v>
      </c>
      <c r="C28" s="10" t="s">
        <v>193</v>
      </c>
      <c r="D28" s="10" t="s">
        <v>160</v>
      </c>
      <c r="E28" s="10" t="s">
        <v>194</v>
      </c>
      <c r="F28" s="10" t="s">
        <v>88</v>
      </c>
      <c r="G28" s="10" t="s">
        <v>162</v>
      </c>
      <c r="H28" s="10" t="s">
        <v>73</v>
      </c>
      <c r="I28" s="10" t="s">
        <v>89</v>
      </c>
      <c r="J28" s="10" t="s">
        <v>74</v>
      </c>
      <c r="K28" s="10" t="s">
        <v>90</v>
      </c>
      <c r="L28" s="10" t="s">
        <v>171</v>
      </c>
      <c r="M28" s="11" t="s">
        <v>195</v>
      </c>
    </row>
    <row r="29" spans="1:13" x14ac:dyDescent="0.2">
      <c r="A29" s="10" t="s">
        <v>196</v>
      </c>
      <c r="B29" s="10" t="s">
        <v>197</v>
      </c>
      <c r="C29" s="10" t="s">
        <v>193</v>
      </c>
      <c r="D29" s="10" t="s">
        <v>160</v>
      </c>
      <c r="E29" s="10" t="s">
        <v>198</v>
      </c>
      <c r="F29" s="10" t="s">
        <v>88</v>
      </c>
      <c r="G29" s="10" t="s">
        <v>162</v>
      </c>
      <c r="H29" s="10" t="s">
        <v>73</v>
      </c>
      <c r="I29" s="10" t="s">
        <v>89</v>
      </c>
      <c r="J29" s="10" t="s">
        <v>74</v>
      </c>
      <c r="K29" s="10" t="s">
        <v>90</v>
      </c>
      <c r="L29" s="10" t="s">
        <v>49</v>
      </c>
      <c r="M29" s="11" t="s">
        <v>199</v>
      </c>
    </row>
    <row r="30" spans="1:13" x14ac:dyDescent="0.2">
      <c r="A30" s="10" t="s">
        <v>200</v>
      </c>
      <c r="B30" s="10" t="s">
        <v>201</v>
      </c>
      <c r="C30" s="10" t="s">
        <v>193</v>
      </c>
      <c r="D30" s="10" t="s">
        <v>160</v>
      </c>
      <c r="E30" s="10" t="s">
        <v>202</v>
      </c>
      <c r="F30" s="10" t="s">
        <v>88</v>
      </c>
      <c r="G30" s="10" t="s">
        <v>162</v>
      </c>
      <c r="H30" s="10" t="s">
        <v>73</v>
      </c>
      <c r="I30" s="10" t="s">
        <v>89</v>
      </c>
      <c r="J30" s="10" t="s">
        <v>74</v>
      </c>
      <c r="K30" s="10" t="s">
        <v>90</v>
      </c>
      <c r="L30" s="10" t="s">
        <v>49</v>
      </c>
      <c r="M30" s="11" t="s">
        <v>203</v>
      </c>
    </row>
    <row r="31" spans="1:13" x14ac:dyDescent="0.2">
      <c r="A31" s="10" t="s">
        <v>417</v>
      </c>
      <c r="B31" s="10" t="s">
        <v>418</v>
      </c>
      <c r="C31" s="10" t="s">
        <v>419</v>
      </c>
      <c r="D31" s="10" t="s">
        <v>327</v>
      </c>
      <c r="E31" s="10" t="s">
        <v>420</v>
      </c>
      <c r="F31" s="10" t="s">
        <v>88</v>
      </c>
      <c r="G31" s="10" t="s">
        <v>329</v>
      </c>
      <c r="H31" s="10" t="s">
        <v>73</v>
      </c>
      <c r="I31" s="10" t="s">
        <v>89</v>
      </c>
      <c r="J31" s="10" t="s">
        <v>74</v>
      </c>
      <c r="K31" s="10" t="s">
        <v>90</v>
      </c>
      <c r="L31" s="10" t="s">
        <v>49</v>
      </c>
      <c r="M31" s="11" t="s">
        <v>421</v>
      </c>
    </row>
    <row r="32" spans="1:13" x14ac:dyDescent="0.2">
      <c r="A32" s="10" t="s">
        <v>422</v>
      </c>
      <c r="B32" s="10" t="s">
        <v>423</v>
      </c>
      <c r="C32" s="10" t="s">
        <v>419</v>
      </c>
      <c r="D32" s="10" t="s">
        <v>327</v>
      </c>
      <c r="E32" s="10" t="s">
        <v>424</v>
      </c>
      <c r="F32" s="10" t="s">
        <v>88</v>
      </c>
      <c r="G32" s="10" t="s">
        <v>329</v>
      </c>
      <c r="H32" s="10" t="s">
        <v>73</v>
      </c>
      <c r="I32" s="10" t="s">
        <v>89</v>
      </c>
      <c r="J32" s="10" t="s">
        <v>74</v>
      </c>
      <c r="K32" s="10" t="s">
        <v>90</v>
      </c>
      <c r="L32" s="10" t="s">
        <v>49</v>
      </c>
      <c r="M32" s="11" t="s">
        <v>425</v>
      </c>
    </row>
    <row r="33" spans="1:13" x14ac:dyDescent="0.2">
      <c r="A33" s="10" t="s">
        <v>426</v>
      </c>
      <c r="B33" s="10" t="s">
        <v>427</v>
      </c>
      <c r="C33" s="10" t="s">
        <v>419</v>
      </c>
      <c r="D33" s="10" t="s">
        <v>327</v>
      </c>
      <c r="E33" s="10" t="s">
        <v>428</v>
      </c>
      <c r="F33" s="10" t="s">
        <v>88</v>
      </c>
      <c r="G33" s="10" t="s">
        <v>329</v>
      </c>
      <c r="H33" s="10" t="s">
        <v>73</v>
      </c>
      <c r="I33" s="10" t="s">
        <v>89</v>
      </c>
      <c r="J33" s="10" t="s">
        <v>74</v>
      </c>
      <c r="K33" s="10" t="s">
        <v>90</v>
      </c>
      <c r="L33" s="10" t="s">
        <v>49</v>
      </c>
      <c r="M33" s="11" t="s">
        <v>429</v>
      </c>
    </row>
    <row r="34" spans="1:13" ht="28" x14ac:dyDescent="0.2">
      <c r="A34" s="12" t="s">
        <v>300</v>
      </c>
      <c r="B34" s="12" t="s">
        <v>301</v>
      </c>
      <c r="C34" s="12" t="s">
        <v>296</v>
      </c>
      <c r="D34" s="12" t="s">
        <v>242</v>
      </c>
      <c r="E34" s="12" t="s">
        <v>302</v>
      </c>
      <c r="F34" s="12" t="s">
        <v>208</v>
      </c>
      <c r="G34" s="12" t="s">
        <v>298</v>
      </c>
      <c r="H34" s="12" t="s">
        <v>73</v>
      </c>
      <c r="I34" s="12" t="s">
        <v>89</v>
      </c>
      <c r="J34" s="12" t="s">
        <v>74</v>
      </c>
      <c r="K34" s="12" t="s">
        <v>209</v>
      </c>
      <c r="L34" s="12" t="s">
        <v>49</v>
      </c>
      <c r="M34" s="13" t="s">
        <v>303</v>
      </c>
    </row>
    <row r="35" spans="1:13" x14ac:dyDescent="0.2">
      <c r="A35" s="10" t="s">
        <v>285</v>
      </c>
      <c r="B35" s="10" t="s">
        <v>286</v>
      </c>
      <c r="C35" s="10" t="s">
        <v>287</v>
      </c>
      <c r="D35" s="10" t="s">
        <v>242</v>
      </c>
      <c r="E35" s="10" t="s">
        <v>288</v>
      </c>
      <c r="F35" s="10" t="s">
        <v>88</v>
      </c>
      <c r="G35" s="10" t="s">
        <v>244</v>
      </c>
      <c r="H35" s="10" t="s">
        <v>73</v>
      </c>
      <c r="I35" s="10" t="s">
        <v>89</v>
      </c>
      <c r="J35" s="10" t="s">
        <v>74</v>
      </c>
      <c r="K35" s="10" t="s">
        <v>90</v>
      </c>
      <c r="L35" s="10" t="s">
        <v>49</v>
      </c>
      <c r="M35" s="11" t="s">
        <v>289</v>
      </c>
    </row>
    <row r="36" spans="1:13" x14ac:dyDescent="0.2">
      <c r="A36" s="10" t="s">
        <v>290</v>
      </c>
      <c r="B36" s="10" t="s">
        <v>291</v>
      </c>
      <c r="C36" s="10" t="s">
        <v>287</v>
      </c>
      <c r="D36" s="10" t="s">
        <v>242</v>
      </c>
      <c r="E36" s="10" t="s">
        <v>292</v>
      </c>
      <c r="F36" s="10" t="s">
        <v>88</v>
      </c>
      <c r="G36" s="10" t="s">
        <v>244</v>
      </c>
      <c r="H36" s="10" t="s">
        <v>73</v>
      </c>
      <c r="I36" s="10" t="s">
        <v>89</v>
      </c>
      <c r="J36" s="10" t="s">
        <v>74</v>
      </c>
      <c r="K36" s="10" t="s">
        <v>90</v>
      </c>
      <c r="L36" s="10" t="s">
        <v>49</v>
      </c>
      <c r="M36" s="11" t="s">
        <v>293</v>
      </c>
    </row>
    <row r="37" spans="1:13" ht="42" x14ac:dyDescent="0.2">
      <c r="A37" s="10" t="s">
        <v>113</v>
      </c>
      <c r="B37" s="10" t="s">
        <v>114</v>
      </c>
      <c r="C37" s="10" t="s">
        <v>107</v>
      </c>
      <c r="D37" s="10" t="s">
        <v>108</v>
      </c>
      <c r="E37" s="10" t="s">
        <v>115</v>
      </c>
      <c r="F37" s="10" t="s">
        <v>110</v>
      </c>
      <c r="G37" s="10" t="s">
        <v>44</v>
      </c>
      <c r="H37" s="10" t="s">
        <v>45</v>
      </c>
      <c r="I37" s="10" t="s">
        <v>89</v>
      </c>
      <c r="J37" s="10" t="s">
        <v>111</v>
      </c>
      <c r="K37" s="10" t="s">
        <v>90</v>
      </c>
      <c r="L37" s="10" t="s">
        <v>49</v>
      </c>
      <c r="M37" s="11" t="s">
        <v>116</v>
      </c>
    </row>
    <row r="38" spans="1:13" x14ac:dyDescent="0.2">
      <c r="A38" s="10" t="s">
        <v>117</v>
      </c>
      <c r="B38" s="10" t="s">
        <v>118</v>
      </c>
      <c r="C38" s="10" t="s">
        <v>107</v>
      </c>
      <c r="D38" s="10" t="s">
        <v>108</v>
      </c>
      <c r="E38" s="10" t="s">
        <v>119</v>
      </c>
      <c r="F38" s="10" t="s">
        <v>110</v>
      </c>
      <c r="G38" s="10" t="s">
        <v>44</v>
      </c>
      <c r="H38" s="10" t="s">
        <v>45</v>
      </c>
      <c r="I38" s="10" t="s">
        <v>89</v>
      </c>
      <c r="J38" s="10" t="s">
        <v>111</v>
      </c>
      <c r="K38" s="10" t="s">
        <v>90</v>
      </c>
      <c r="L38" s="10" t="s">
        <v>49</v>
      </c>
      <c r="M38" s="11" t="s">
        <v>120</v>
      </c>
    </row>
    <row r="39" spans="1:13" x14ac:dyDescent="0.2">
      <c r="A39" s="12" t="s">
        <v>444</v>
      </c>
      <c r="B39" s="12" t="s">
        <v>445</v>
      </c>
      <c r="C39" s="12" t="s">
        <v>432</v>
      </c>
      <c r="D39" s="12" t="s">
        <v>327</v>
      </c>
      <c r="E39" s="12" t="s">
        <v>446</v>
      </c>
      <c r="F39" s="12" t="s">
        <v>208</v>
      </c>
      <c r="G39" s="12" t="s">
        <v>434</v>
      </c>
      <c r="H39" s="12" t="s">
        <v>73</v>
      </c>
      <c r="I39" s="12" t="s">
        <v>89</v>
      </c>
      <c r="J39" s="12" t="s">
        <v>176</v>
      </c>
      <c r="K39" s="12" t="s">
        <v>209</v>
      </c>
      <c r="L39" s="12" t="s">
        <v>49</v>
      </c>
      <c r="M39" s="13" t="s">
        <v>447</v>
      </c>
    </row>
    <row r="40" spans="1:13" ht="28" x14ac:dyDescent="0.2">
      <c r="A40" s="10" t="s">
        <v>121</v>
      </c>
      <c r="B40" s="10" t="s">
        <v>122</v>
      </c>
      <c r="C40" s="10" t="s">
        <v>107</v>
      </c>
      <c r="D40" s="10" t="s">
        <v>108</v>
      </c>
      <c r="E40" s="10" t="s">
        <v>123</v>
      </c>
      <c r="F40" s="10" t="s">
        <v>110</v>
      </c>
      <c r="G40" s="10" t="s">
        <v>44</v>
      </c>
      <c r="H40" s="10" t="s">
        <v>45</v>
      </c>
      <c r="I40" s="10" t="s">
        <v>89</v>
      </c>
      <c r="J40" s="10" t="s">
        <v>111</v>
      </c>
      <c r="K40" s="10" t="s">
        <v>90</v>
      </c>
      <c r="L40" s="10" t="s">
        <v>49</v>
      </c>
      <c r="M40" s="11" t="s">
        <v>124</v>
      </c>
    </row>
    <row r="41" spans="1:13" x14ac:dyDescent="0.2">
      <c r="A41" s="6" t="s">
        <v>65</v>
      </c>
      <c r="B41" s="6" t="s">
        <v>66</v>
      </c>
      <c r="C41" s="6" t="s">
        <v>40</v>
      </c>
      <c r="D41" s="6" t="s">
        <v>41</v>
      </c>
      <c r="E41" s="6" t="s">
        <v>67</v>
      </c>
      <c r="F41" s="6" t="s">
        <v>43</v>
      </c>
      <c r="G41" s="6" t="s">
        <v>44</v>
      </c>
      <c r="H41" s="6" t="s">
        <v>45</v>
      </c>
      <c r="I41" s="6" t="s">
        <v>46</v>
      </c>
      <c r="J41" s="6" t="s">
        <v>47</v>
      </c>
      <c r="K41" s="6" t="s">
        <v>48</v>
      </c>
      <c r="L41" s="6" t="s">
        <v>49</v>
      </c>
      <c r="M41" s="7" t="s">
        <v>68</v>
      </c>
    </row>
    <row r="42" spans="1:13" x14ac:dyDescent="0.2">
      <c r="A42" s="8" t="s">
        <v>69</v>
      </c>
      <c r="B42" s="8" t="s">
        <v>70</v>
      </c>
      <c r="C42" s="8" t="s">
        <v>40</v>
      </c>
      <c r="D42" s="8" t="s">
        <v>41</v>
      </c>
      <c r="E42" s="8" t="s">
        <v>71</v>
      </c>
      <c r="F42" s="8" t="s">
        <v>72</v>
      </c>
      <c r="G42" s="8" t="s">
        <v>44</v>
      </c>
      <c r="H42" s="8" t="s">
        <v>73</v>
      </c>
      <c r="I42" s="8" t="s">
        <v>46</v>
      </c>
      <c r="J42" s="8" t="s">
        <v>74</v>
      </c>
      <c r="K42" s="8" t="s">
        <v>48</v>
      </c>
      <c r="L42" s="8" t="s">
        <v>49</v>
      </c>
      <c r="M42" s="9" t="s">
        <v>75</v>
      </c>
    </row>
    <row r="43" spans="1:13" x14ac:dyDescent="0.2">
      <c r="A43" s="6" t="s">
        <v>76</v>
      </c>
      <c r="B43" s="6" t="s">
        <v>77</v>
      </c>
      <c r="C43" s="6" t="s">
        <v>40</v>
      </c>
      <c r="D43" s="6" t="s">
        <v>41</v>
      </c>
      <c r="E43" s="6" t="s">
        <v>78</v>
      </c>
      <c r="F43" s="6" t="s">
        <v>72</v>
      </c>
      <c r="G43" s="6" t="s">
        <v>44</v>
      </c>
      <c r="H43" s="6" t="s">
        <v>73</v>
      </c>
      <c r="I43" s="6" t="s">
        <v>46</v>
      </c>
      <c r="J43" s="6" t="s">
        <v>74</v>
      </c>
      <c r="K43" s="6" t="s">
        <v>48</v>
      </c>
      <c r="L43" s="6" t="s">
        <v>49</v>
      </c>
      <c r="M43" s="7" t="s">
        <v>79</v>
      </c>
    </row>
    <row r="44" spans="1:13" x14ac:dyDescent="0.2">
      <c r="A44" s="8" t="s">
        <v>80</v>
      </c>
      <c r="B44" s="8" t="s">
        <v>81</v>
      </c>
      <c r="C44" s="8" t="s">
        <v>40</v>
      </c>
      <c r="D44" s="8" t="s">
        <v>41</v>
      </c>
      <c r="E44" s="8" t="s">
        <v>82</v>
      </c>
      <c r="F44" s="8" t="s">
        <v>72</v>
      </c>
      <c r="G44" s="8" t="s">
        <v>44</v>
      </c>
      <c r="H44" s="8" t="s">
        <v>73</v>
      </c>
      <c r="I44" s="8" t="s">
        <v>46</v>
      </c>
      <c r="J44" s="8" t="s">
        <v>74</v>
      </c>
      <c r="K44" s="8" t="s">
        <v>48</v>
      </c>
      <c r="L44" s="8" t="s">
        <v>49</v>
      </c>
      <c r="M44" s="9" t="s">
        <v>83</v>
      </c>
    </row>
    <row r="45" spans="1:13" x14ac:dyDescent="0.2">
      <c r="A45" s="6" t="s">
        <v>38</v>
      </c>
      <c r="B45" s="6" t="s">
        <v>39</v>
      </c>
      <c r="C45" s="6" t="s">
        <v>40</v>
      </c>
      <c r="D45" s="6" t="s">
        <v>41</v>
      </c>
      <c r="E45" s="6" t="s">
        <v>42</v>
      </c>
      <c r="F45" s="6" t="s">
        <v>43</v>
      </c>
      <c r="G45" s="6" t="s">
        <v>44</v>
      </c>
      <c r="H45" s="6" t="s">
        <v>45</v>
      </c>
      <c r="I45" s="6" t="s">
        <v>46</v>
      </c>
      <c r="J45" s="6" t="s">
        <v>47</v>
      </c>
      <c r="K45" s="6" t="s">
        <v>48</v>
      </c>
      <c r="L45" s="6" t="s">
        <v>49</v>
      </c>
      <c r="M45" s="7" t="s">
        <v>50</v>
      </c>
    </row>
    <row r="46" spans="1:13" x14ac:dyDescent="0.2">
      <c r="A46" s="8" t="s">
        <v>51</v>
      </c>
      <c r="B46" s="8" t="s">
        <v>52</v>
      </c>
      <c r="C46" s="8" t="s">
        <v>40</v>
      </c>
      <c r="D46" s="8" t="s">
        <v>41</v>
      </c>
      <c r="E46" s="8" t="s">
        <v>53</v>
      </c>
      <c r="F46" s="8" t="s">
        <v>54</v>
      </c>
      <c r="G46" s="8" t="s">
        <v>44</v>
      </c>
      <c r="H46" s="8" t="s">
        <v>45</v>
      </c>
      <c r="I46" s="8" t="s">
        <v>46</v>
      </c>
      <c r="J46" s="8" t="s">
        <v>55</v>
      </c>
      <c r="K46" s="8" t="s">
        <v>48</v>
      </c>
      <c r="L46" s="8" t="s">
        <v>49</v>
      </c>
      <c r="M46" s="9" t="s">
        <v>56</v>
      </c>
    </row>
    <row r="47" spans="1:13" x14ac:dyDescent="0.2">
      <c r="A47" s="6" t="s">
        <v>57</v>
      </c>
      <c r="B47" s="6" t="s">
        <v>58</v>
      </c>
      <c r="C47" s="6" t="s">
        <v>40</v>
      </c>
      <c r="D47" s="6" t="s">
        <v>41</v>
      </c>
      <c r="E47" s="6" t="s">
        <v>59</v>
      </c>
      <c r="F47" s="6" t="s">
        <v>54</v>
      </c>
      <c r="G47" s="6" t="s">
        <v>44</v>
      </c>
      <c r="H47" s="6" t="s">
        <v>45</v>
      </c>
      <c r="I47" s="6" t="s">
        <v>46</v>
      </c>
      <c r="J47" s="6" t="s">
        <v>55</v>
      </c>
      <c r="K47" s="6" t="s">
        <v>48</v>
      </c>
      <c r="L47" s="6" t="s">
        <v>49</v>
      </c>
      <c r="M47" s="7" t="s">
        <v>60</v>
      </c>
    </row>
    <row r="48" spans="1:13" x14ac:dyDescent="0.2">
      <c r="A48" s="8" t="s">
        <v>61</v>
      </c>
      <c r="B48" s="8" t="s">
        <v>62</v>
      </c>
      <c r="C48" s="8" t="s">
        <v>40</v>
      </c>
      <c r="D48" s="8" t="s">
        <v>41</v>
      </c>
      <c r="E48" s="8" t="s">
        <v>63</v>
      </c>
      <c r="F48" s="8" t="s">
        <v>54</v>
      </c>
      <c r="G48" s="8" t="s">
        <v>44</v>
      </c>
      <c r="H48" s="8" t="s">
        <v>45</v>
      </c>
      <c r="I48" s="8" t="s">
        <v>46</v>
      </c>
      <c r="J48" s="8" t="s">
        <v>55</v>
      </c>
      <c r="K48" s="8" t="s">
        <v>48</v>
      </c>
      <c r="L48" s="8" t="s">
        <v>49</v>
      </c>
      <c r="M48" s="9" t="s">
        <v>64</v>
      </c>
    </row>
    <row r="49" spans="1:13" x14ac:dyDescent="0.2">
      <c r="A49" s="6" t="s">
        <v>472</v>
      </c>
      <c r="B49" s="6" t="s">
        <v>473</v>
      </c>
      <c r="C49" s="6" t="s">
        <v>465</v>
      </c>
      <c r="D49" s="6" t="s">
        <v>466</v>
      </c>
      <c r="E49" s="6" t="s">
        <v>474</v>
      </c>
      <c r="F49" s="6" t="s">
        <v>72</v>
      </c>
      <c r="G49" s="6" t="s">
        <v>44</v>
      </c>
      <c r="H49" s="6" t="s">
        <v>73</v>
      </c>
      <c r="I49" s="6" t="s">
        <v>46</v>
      </c>
      <c r="J49" s="6" t="s">
        <v>74</v>
      </c>
      <c r="K49" s="6" t="s">
        <v>48</v>
      </c>
      <c r="L49" s="6" t="s">
        <v>171</v>
      </c>
      <c r="M49" s="7" t="s">
        <v>475</v>
      </c>
    </row>
    <row r="50" spans="1:13" x14ac:dyDescent="0.2">
      <c r="A50" s="8" t="s">
        <v>476</v>
      </c>
      <c r="B50" s="8" t="s">
        <v>477</v>
      </c>
      <c r="C50" s="8" t="s">
        <v>465</v>
      </c>
      <c r="D50" s="8" t="s">
        <v>466</v>
      </c>
      <c r="E50" s="8" t="s">
        <v>478</v>
      </c>
      <c r="F50" s="8" t="s">
        <v>72</v>
      </c>
      <c r="G50" s="8" t="s">
        <v>44</v>
      </c>
      <c r="H50" s="8" t="s">
        <v>73</v>
      </c>
      <c r="I50" s="8" t="s">
        <v>46</v>
      </c>
      <c r="J50" s="8" t="s">
        <v>74</v>
      </c>
      <c r="K50" s="8" t="s">
        <v>48</v>
      </c>
      <c r="L50" s="8" t="s">
        <v>171</v>
      </c>
      <c r="M50" s="9" t="s">
        <v>479</v>
      </c>
    </row>
    <row r="51" spans="1:13" ht="28" x14ac:dyDescent="0.2">
      <c r="A51" s="6" t="s">
        <v>480</v>
      </c>
      <c r="B51" s="6" t="s">
        <v>481</v>
      </c>
      <c r="C51" s="6" t="s">
        <v>465</v>
      </c>
      <c r="D51" s="6" t="s">
        <v>466</v>
      </c>
      <c r="E51" s="6" t="s">
        <v>482</v>
      </c>
      <c r="F51" s="6" t="s">
        <v>54</v>
      </c>
      <c r="G51" s="6" t="s">
        <v>483</v>
      </c>
      <c r="H51" s="6" t="s">
        <v>45</v>
      </c>
      <c r="I51" s="6" t="s">
        <v>46</v>
      </c>
      <c r="J51" s="6" t="s">
        <v>484</v>
      </c>
      <c r="K51" s="6" t="s">
        <v>342</v>
      </c>
      <c r="L51" s="6" t="s">
        <v>49</v>
      </c>
      <c r="M51" s="7" t="s">
        <v>485</v>
      </c>
    </row>
    <row r="52" spans="1:13" ht="42" x14ac:dyDescent="0.2">
      <c r="A52" s="12" t="s">
        <v>231</v>
      </c>
      <c r="B52" s="12" t="s">
        <v>232</v>
      </c>
      <c r="C52" s="12" t="s">
        <v>206</v>
      </c>
      <c r="D52" s="12" t="s">
        <v>160</v>
      </c>
      <c r="E52" s="12" t="s">
        <v>233</v>
      </c>
      <c r="F52" s="12" t="s">
        <v>208</v>
      </c>
      <c r="G52" s="12" t="s">
        <v>162</v>
      </c>
      <c r="H52" s="12" t="s">
        <v>73</v>
      </c>
      <c r="I52" s="12" t="s">
        <v>46</v>
      </c>
      <c r="J52" s="12" t="s">
        <v>176</v>
      </c>
      <c r="K52" s="12" t="s">
        <v>209</v>
      </c>
      <c r="L52" s="12" t="s">
        <v>49</v>
      </c>
      <c r="M52" s="13" t="s">
        <v>234</v>
      </c>
    </row>
    <row r="53" spans="1:13" ht="28" x14ac:dyDescent="0.2">
      <c r="A53" s="12" t="s">
        <v>231</v>
      </c>
      <c r="B53" s="12" t="s">
        <v>448</v>
      </c>
      <c r="C53" s="12" t="s">
        <v>432</v>
      </c>
      <c r="D53" s="12" t="s">
        <v>327</v>
      </c>
      <c r="E53" s="12" t="s">
        <v>449</v>
      </c>
      <c r="F53" s="12" t="s">
        <v>208</v>
      </c>
      <c r="G53" s="12" t="s">
        <v>434</v>
      </c>
      <c r="H53" s="12" t="s">
        <v>73</v>
      </c>
      <c r="I53" s="12" t="s">
        <v>46</v>
      </c>
      <c r="J53" s="12" t="s">
        <v>176</v>
      </c>
      <c r="K53" s="12" t="s">
        <v>209</v>
      </c>
      <c r="L53" s="12" t="s">
        <v>49</v>
      </c>
      <c r="M53" s="13" t="s">
        <v>450</v>
      </c>
    </row>
    <row r="54" spans="1:13" x14ac:dyDescent="0.2">
      <c r="A54" s="6" t="s">
        <v>168</v>
      </c>
      <c r="B54" s="6" t="s">
        <v>169</v>
      </c>
      <c r="C54" s="6" t="s">
        <v>159</v>
      </c>
      <c r="D54" s="6" t="s">
        <v>160</v>
      </c>
      <c r="E54" s="6" t="s">
        <v>170</v>
      </c>
      <c r="F54" s="6" t="s">
        <v>72</v>
      </c>
      <c r="G54" s="6" t="s">
        <v>162</v>
      </c>
      <c r="H54" s="6" t="s">
        <v>73</v>
      </c>
      <c r="I54" s="6" t="s">
        <v>46</v>
      </c>
      <c r="J54" s="6" t="s">
        <v>74</v>
      </c>
      <c r="K54" s="6" t="s">
        <v>48</v>
      </c>
      <c r="L54" s="6" t="s">
        <v>171</v>
      </c>
      <c r="M54" s="7" t="s">
        <v>172</v>
      </c>
    </row>
    <row r="55" spans="1:13" x14ac:dyDescent="0.2">
      <c r="A55" s="8" t="s">
        <v>486</v>
      </c>
      <c r="B55" s="8" t="s">
        <v>487</v>
      </c>
      <c r="C55" s="8" t="s">
        <v>465</v>
      </c>
      <c r="D55" s="8" t="s">
        <v>466</v>
      </c>
      <c r="E55" s="8" t="s">
        <v>488</v>
      </c>
      <c r="F55" s="8" t="s">
        <v>279</v>
      </c>
      <c r="G55" s="8" t="s">
        <v>483</v>
      </c>
      <c r="H55" s="8" t="s">
        <v>73</v>
      </c>
      <c r="I55" s="8" t="s">
        <v>46</v>
      </c>
      <c r="J55" s="8" t="s">
        <v>176</v>
      </c>
      <c r="K55" s="8" t="s">
        <v>189</v>
      </c>
      <c r="L55" s="8" t="s">
        <v>49</v>
      </c>
      <c r="M55" s="9" t="s">
        <v>489</v>
      </c>
    </row>
    <row r="56" spans="1:13" ht="28" x14ac:dyDescent="0.2">
      <c r="A56" s="6" t="s">
        <v>490</v>
      </c>
      <c r="B56" s="6" t="s">
        <v>491</v>
      </c>
      <c r="C56" s="6" t="s">
        <v>465</v>
      </c>
      <c r="D56" s="6" t="s">
        <v>466</v>
      </c>
      <c r="E56" s="6" t="s">
        <v>492</v>
      </c>
      <c r="F56" s="6" t="s">
        <v>279</v>
      </c>
      <c r="G56" s="6" t="s">
        <v>483</v>
      </c>
      <c r="H56" s="6" t="s">
        <v>73</v>
      </c>
      <c r="I56" s="6" t="s">
        <v>46</v>
      </c>
      <c r="J56" s="6" t="s">
        <v>176</v>
      </c>
      <c r="K56" s="6" t="s">
        <v>90</v>
      </c>
      <c r="L56" s="6" t="s">
        <v>49</v>
      </c>
      <c r="M56" s="7" t="s">
        <v>493</v>
      </c>
    </row>
    <row r="57" spans="1:13" ht="56" x14ac:dyDescent="0.2">
      <c r="A57" s="8" t="s">
        <v>173</v>
      </c>
      <c r="B57" s="8" t="s">
        <v>174</v>
      </c>
      <c r="C57" s="8" t="s">
        <v>159</v>
      </c>
      <c r="D57" s="8" t="s">
        <v>160</v>
      </c>
      <c r="E57" s="8" t="s">
        <v>175</v>
      </c>
      <c r="F57" s="8" t="s">
        <v>72</v>
      </c>
      <c r="G57" s="8" t="s">
        <v>162</v>
      </c>
      <c r="H57" s="8" t="s">
        <v>73</v>
      </c>
      <c r="I57" s="8" t="s">
        <v>46</v>
      </c>
      <c r="J57" s="8" t="s">
        <v>176</v>
      </c>
      <c r="K57" s="8" t="s">
        <v>48</v>
      </c>
      <c r="L57" s="8" t="s">
        <v>49</v>
      </c>
      <c r="M57" s="9" t="s">
        <v>177</v>
      </c>
    </row>
    <row r="58" spans="1:13" x14ac:dyDescent="0.2">
      <c r="A58" s="6" t="s">
        <v>178</v>
      </c>
      <c r="B58" s="6" t="s">
        <v>179</v>
      </c>
      <c r="C58" s="6" t="s">
        <v>159</v>
      </c>
      <c r="D58" s="6" t="s">
        <v>160</v>
      </c>
      <c r="E58" s="6" t="s">
        <v>180</v>
      </c>
      <c r="F58" s="6" t="s">
        <v>72</v>
      </c>
      <c r="G58" s="6" t="s">
        <v>162</v>
      </c>
      <c r="H58" s="6" t="s">
        <v>73</v>
      </c>
      <c r="I58" s="6" t="s">
        <v>46</v>
      </c>
      <c r="J58" s="6" t="s">
        <v>74</v>
      </c>
      <c r="K58" s="6" t="s">
        <v>48</v>
      </c>
      <c r="L58" s="6" t="s">
        <v>49</v>
      </c>
      <c r="M58" s="7" t="s">
        <v>181</v>
      </c>
    </row>
    <row r="59" spans="1:13" x14ac:dyDescent="0.2">
      <c r="A59" s="8" t="s">
        <v>182</v>
      </c>
      <c r="B59" s="8" t="s">
        <v>183</v>
      </c>
      <c r="C59" s="8" t="s">
        <v>159</v>
      </c>
      <c r="D59" s="8" t="s">
        <v>160</v>
      </c>
      <c r="E59" s="8" t="s">
        <v>184</v>
      </c>
      <c r="F59" s="8" t="s">
        <v>72</v>
      </c>
      <c r="G59" s="8" t="s">
        <v>162</v>
      </c>
      <c r="H59" s="8" t="s">
        <v>73</v>
      </c>
      <c r="I59" s="8" t="s">
        <v>46</v>
      </c>
      <c r="J59" s="8" t="s">
        <v>74</v>
      </c>
      <c r="K59" s="8" t="s">
        <v>48</v>
      </c>
      <c r="L59" s="8" t="s">
        <v>49</v>
      </c>
      <c r="M59" s="9" t="s">
        <v>185</v>
      </c>
    </row>
    <row r="60" spans="1:13" ht="28" x14ac:dyDescent="0.2">
      <c r="A60" s="10" t="s">
        <v>101</v>
      </c>
      <c r="B60" s="10" t="s">
        <v>102</v>
      </c>
      <c r="C60" s="10" t="s">
        <v>86</v>
      </c>
      <c r="D60" s="10" t="s">
        <v>41</v>
      </c>
      <c r="E60" s="10" t="s">
        <v>103</v>
      </c>
      <c r="F60" s="10" t="s">
        <v>88</v>
      </c>
      <c r="G60" s="10" t="s">
        <v>44</v>
      </c>
      <c r="H60" s="10" t="s">
        <v>45</v>
      </c>
      <c r="I60" s="10" t="s">
        <v>89</v>
      </c>
      <c r="J60" s="10" t="s">
        <v>95</v>
      </c>
      <c r="K60" s="10" t="s">
        <v>90</v>
      </c>
      <c r="L60" s="10" t="s">
        <v>49</v>
      </c>
      <c r="M60" s="11" t="s">
        <v>104</v>
      </c>
    </row>
    <row r="61" spans="1:13" ht="28" x14ac:dyDescent="0.2">
      <c r="A61" s="10" t="s">
        <v>125</v>
      </c>
      <c r="B61" s="10" t="s">
        <v>126</v>
      </c>
      <c r="C61" s="10" t="s">
        <v>107</v>
      </c>
      <c r="D61" s="10" t="s">
        <v>108</v>
      </c>
      <c r="E61" s="10" t="s">
        <v>127</v>
      </c>
      <c r="F61" s="10" t="s">
        <v>110</v>
      </c>
      <c r="G61" s="10" t="s">
        <v>44</v>
      </c>
      <c r="H61" s="10" t="s">
        <v>45</v>
      </c>
      <c r="I61" s="10" t="s">
        <v>89</v>
      </c>
      <c r="J61" s="10" t="s">
        <v>111</v>
      </c>
      <c r="K61" s="10" t="s">
        <v>90</v>
      </c>
      <c r="L61" s="10" t="s">
        <v>49</v>
      </c>
      <c r="M61" s="11" t="s">
        <v>128</v>
      </c>
    </row>
    <row r="62" spans="1:13" ht="28" x14ac:dyDescent="0.2">
      <c r="A62" s="6" t="s">
        <v>364</v>
      </c>
      <c r="B62" s="6" t="s">
        <v>365</v>
      </c>
      <c r="C62" s="6" t="s">
        <v>354</v>
      </c>
      <c r="D62" s="6" t="s">
        <v>327</v>
      </c>
      <c r="E62" s="6" t="s">
        <v>364</v>
      </c>
      <c r="F62" s="6" t="s">
        <v>72</v>
      </c>
      <c r="G62" s="6" t="s">
        <v>329</v>
      </c>
      <c r="H62" s="6" t="s">
        <v>73</v>
      </c>
      <c r="I62" s="6" t="s">
        <v>46</v>
      </c>
      <c r="J62" s="6" t="s">
        <v>176</v>
      </c>
      <c r="K62" s="6" t="s">
        <v>90</v>
      </c>
      <c r="L62" s="6" t="s">
        <v>49</v>
      </c>
      <c r="M62" s="7" t="s">
        <v>366</v>
      </c>
    </row>
    <row r="63" spans="1:13" x14ac:dyDescent="0.2">
      <c r="A63" s="8" t="s">
        <v>367</v>
      </c>
      <c r="B63" s="8" t="s">
        <v>368</v>
      </c>
      <c r="C63" s="8" t="s">
        <v>354</v>
      </c>
      <c r="D63" s="8" t="s">
        <v>327</v>
      </c>
      <c r="E63" s="8" t="s">
        <v>369</v>
      </c>
      <c r="F63" s="8" t="s">
        <v>72</v>
      </c>
      <c r="G63" s="8" t="s">
        <v>329</v>
      </c>
      <c r="H63" s="8" t="s">
        <v>73</v>
      </c>
      <c r="I63" s="8" t="s">
        <v>46</v>
      </c>
      <c r="J63" s="8" t="s">
        <v>74</v>
      </c>
      <c r="K63" s="8" t="s">
        <v>48</v>
      </c>
      <c r="L63" s="8" t="s">
        <v>49</v>
      </c>
      <c r="M63" s="9" t="s">
        <v>370</v>
      </c>
    </row>
    <row r="64" spans="1:13" x14ac:dyDescent="0.2">
      <c r="A64" s="8" t="s">
        <v>324</v>
      </c>
      <c r="B64" s="8" t="s">
        <v>325</v>
      </c>
      <c r="C64" s="8" t="s">
        <v>326</v>
      </c>
      <c r="D64" s="8" t="s">
        <v>327</v>
      </c>
      <c r="E64" s="8" t="s">
        <v>328</v>
      </c>
      <c r="F64" s="8" t="s">
        <v>72</v>
      </c>
      <c r="G64" s="8" t="s">
        <v>329</v>
      </c>
      <c r="H64" s="8" t="s">
        <v>73</v>
      </c>
      <c r="I64" s="8" t="s">
        <v>46</v>
      </c>
      <c r="J64" s="8" t="s">
        <v>74</v>
      </c>
      <c r="K64" s="8" t="s">
        <v>48</v>
      </c>
      <c r="L64" s="8" t="s">
        <v>49</v>
      </c>
      <c r="M64" s="9" t="s">
        <v>330</v>
      </c>
    </row>
    <row r="65" spans="1:13" x14ac:dyDescent="0.2">
      <c r="A65" s="6" t="s">
        <v>331</v>
      </c>
      <c r="B65" s="6" t="s">
        <v>332</v>
      </c>
      <c r="C65" s="6" t="s">
        <v>326</v>
      </c>
      <c r="D65" s="6" t="s">
        <v>327</v>
      </c>
      <c r="E65" s="6" t="s">
        <v>333</v>
      </c>
      <c r="F65" s="6" t="s">
        <v>72</v>
      </c>
      <c r="G65" s="6" t="s">
        <v>329</v>
      </c>
      <c r="H65" s="6" t="s">
        <v>73</v>
      </c>
      <c r="I65" s="6" t="s">
        <v>46</v>
      </c>
      <c r="J65" s="6" t="s">
        <v>74</v>
      </c>
      <c r="K65" s="6" t="s">
        <v>48</v>
      </c>
      <c r="L65" s="6" t="s">
        <v>49</v>
      </c>
      <c r="M65" s="7" t="s">
        <v>334</v>
      </c>
    </row>
    <row r="66" spans="1:13" x14ac:dyDescent="0.2">
      <c r="A66" s="8" t="s">
        <v>335</v>
      </c>
      <c r="B66" s="8" t="s">
        <v>336</v>
      </c>
      <c r="C66" s="8" t="s">
        <v>326</v>
      </c>
      <c r="D66" s="8" t="s">
        <v>327</v>
      </c>
      <c r="E66" s="8" t="s">
        <v>337</v>
      </c>
      <c r="F66" s="8" t="s">
        <v>72</v>
      </c>
      <c r="G66" s="8" t="s">
        <v>329</v>
      </c>
      <c r="H66" s="8" t="s">
        <v>73</v>
      </c>
      <c r="I66" s="8" t="s">
        <v>46</v>
      </c>
      <c r="J66" s="8" t="s">
        <v>74</v>
      </c>
      <c r="K66" s="8" t="s">
        <v>48</v>
      </c>
      <c r="L66" s="8" t="s">
        <v>49</v>
      </c>
      <c r="M66" s="9" t="s">
        <v>338</v>
      </c>
    </row>
    <row r="67" spans="1:13" x14ac:dyDescent="0.2">
      <c r="A67" s="6" t="s">
        <v>268</v>
      </c>
      <c r="B67" s="6" t="s">
        <v>269</v>
      </c>
      <c r="C67" s="6" t="s">
        <v>256</v>
      </c>
      <c r="D67" s="6" t="s">
        <v>242</v>
      </c>
      <c r="E67" s="6" t="s">
        <v>270</v>
      </c>
      <c r="F67" s="6" t="s">
        <v>72</v>
      </c>
      <c r="G67" s="6" t="s">
        <v>258</v>
      </c>
      <c r="H67" s="6" t="s">
        <v>73</v>
      </c>
      <c r="I67" s="6" t="s">
        <v>46</v>
      </c>
      <c r="J67" s="6" t="s">
        <v>74</v>
      </c>
      <c r="K67" s="6" t="s">
        <v>48</v>
      </c>
      <c r="L67" s="6" t="s">
        <v>49</v>
      </c>
      <c r="M67" s="7" t="s">
        <v>271</v>
      </c>
    </row>
    <row r="68" spans="1:13" x14ac:dyDescent="0.2">
      <c r="A68" s="8" t="s">
        <v>272</v>
      </c>
      <c r="B68" s="8" t="s">
        <v>273</v>
      </c>
      <c r="C68" s="8" t="s">
        <v>256</v>
      </c>
      <c r="D68" s="8" t="s">
        <v>242</v>
      </c>
      <c r="E68" s="8" t="s">
        <v>274</v>
      </c>
      <c r="F68" s="8" t="s">
        <v>72</v>
      </c>
      <c r="G68" s="8" t="s">
        <v>258</v>
      </c>
      <c r="H68" s="8" t="s">
        <v>73</v>
      </c>
      <c r="I68" s="8" t="s">
        <v>46</v>
      </c>
      <c r="J68" s="8" t="s">
        <v>176</v>
      </c>
      <c r="K68" s="8" t="s">
        <v>48</v>
      </c>
      <c r="L68" s="8" t="s">
        <v>49</v>
      </c>
      <c r="M68" s="9" t="s">
        <v>275</v>
      </c>
    </row>
    <row r="69" spans="1:13" x14ac:dyDescent="0.2">
      <c r="A69" s="6" t="s">
        <v>371</v>
      </c>
      <c r="B69" s="6" t="s">
        <v>372</v>
      </c>
      <c r="C69" s="6" t="s">
        <v>354</v>
      </c>
      <c r="D69" s="6" t="s">
        <v>327</v>
      </c>
      <c r="E69" s="6" t="s">
        <v>373</v>
      </c>
      <c r="F69" s="6" t="s">
        <v>72</v>
      </c>
      <c r="G69" s="6" t="s">
        <v>329</v>
      </c>
      <c r="H69" s="6" t="s">
        <v>73</v>
      </c>
      <c r="I69" s="6" t="s">
        <v>46</v>
      </c>
      <c r="J69" s="6" t="s">
        <v>74</v>
      </c>
      <c r="K69" s="6" t="s">
        <v>342</v>
      </c>
      <c r="L69" s="6" t="s">
        <v>49</v>
      </c>
      <c r="M69" s="7" t="s">
        <v>374</v>
      </c>
    </row>
    <row r="70" spans="1:13" ht="28" x14ac:dyDescent="0.2">
      <c r="A70" s="8" t="s">
        <v>129</v>
      </c>
      <c r="B70" s="8" t="s">
        <v>130</v>
      </c>
      <c r="C70" s="8" t="s">
        <v>107</v>
      </c>
      <c r="D70" s="8" t="s">
        <v>108</v>
      </c>
      <c r="E70" s="8" t="s">
        <v>131</v>
      </c>
      <c r="F70" s="8" t="s">
        <v>110</v>
      </c>
      <c r="G70" s="8" t="s">
        <v>44</v>
      </c>
      <c r="H70" s="8" t="s">
        <v>45</v>
      </c>
      <c r="I70" s="8" t="s">
        <v>46</v>
      </c>
      <c r="J70" s="8" t="s">
        <v>111</v>
      </c>
      <c r="K70" s="8" t="s">
        <v>48</v>
      </c>
      <c r="L70" s="8" t="s">
        <v>49</v>
      </c>
      <c r="M70" s="9" t="s">
        <v>132</v>
      </c>
    </row>
    <row r="71" spans="1:13" ht="28" x14ac:dyDescent="0.2">
      <c r="A71" s="10" t="s">
        <v>133</v>
      </c>
      <c r="B71" s="10" t="s">
        <v>134</v>
      </c>
      <c r="C71" s="10" t="s">
        <v>107</v>
      </c>
      <c r="D71" s="10" t="s">
        <v>108</v>
      </c>
      <c r="E71" s="10" t="s">
        <v>135</v>
      </c>
      <c r="F71" s="10" t="s">
        <v>110</v>
      </c>
      <c r="G71" s="10" t="s">
        <v>44</v>
      </c>
      <c r="H71" s="10" t="s">
        <v>45</v>
      </c>
      <c r="I71" s="10" t="s">
        <v>89</v>
      </c>
      <c r="J71" s="10" t="s">
        <v>111</v>
      </c>
      <c r="K71" s="10" t="s">
        <v>90</v>
      </c>
      <c r="L71" s="10" t="s">
        <v>49</v>
      </c>
      <c r="M71" s="11" t="s">
        <v>136</v>
      </c>
    </row>
    <row r="72" spans="1:13" x14ac:dyDescent="0.2">
      <c r="A72" s="8" t="s">
        <v>375</v>
      </c>
      <c r="B72" s="8" t="s">
        <v>376</v>
      </c>
      <c r="C72" s="8" t="s">
        <v>354</v>
      </c>
      <c r="D72" s="8" t="s">
        <v>327</v>
      </c>
      <c r="E72" s="8" t="s">
        <v>377</v>
      </c>
      <c r="F72" s="8" t="s">
        <v>378</v>
      </c>
      <c r="G72" s="8" t="s">
        <v>329</v>
      </c>
      <c r="H72" s="8" t="s">
        <v>73</v>
      </c>
      <c r="I72" s="8" t="s">
        <v>46</v>
      </c>
      <c r="J72" s="8" t="s">
        <v>176</v>
      </c>
      <c r="K72" s="8" t="s">
        <v>209</v>
      </c>
      <c r="L72" s="8" t="s">
        <v>49</v>
      </c>
      <c r="M72" s="9" t="s">
        <v>379</v>
      </c>
    </row>
    <row r="73" spans="1:13" x14ac:dyDescent="0.2">
      <c r="A73" s="6" t="s">
        <v>380</v>
      </c>
      <c r="B73" s="6" t="s">
        <v>381</v>
      </c>
      <c r="C73" s="6" t="s">
        <v>354</v>
      </c>
      <c r="D73" s="6" t="s">
        <v>327</v>
      </c>
      <c r="E73" s="6" t="s">
        <v>382</v>
      </c>
      <c r="F73" s="6" t="s">
        <v>378</v>
      </c>
      <c r="G73" s="6" t="s">
        <v>329</v>
      </c>
      <c r="H73" s="6" t="s">
        <v>73</v>
      </c>
      <c r="I73" s="6" t="s">
        <v>46</v>
      </c>
      <c r="J73" s="6" t="s">
        <v>74</v>
      </c>
      <c r="K73" s="6" t="s">
        <v>209</v>
      </c>
      <c r="L73" s="6" t="s">
        <v>49</v>
      </c>
      <c r="M73" s="7" t="s">
        <v>383</v>
      </c>
    </row>
    <row r="74" spans="1:13" x14ac:dyDescent="0.2">
      <c r="A74" s="8" t="s">
        <v>384</v>
      </c>
      <c r="B74" s="8" t="s">
        <v>385</v>
      </c>
      <c r="C74" s="8" t="s">
        <v>354</v>
      </c>
      <c r="D74" s="8" t="s">
        <v>327</v>
      </c>
      <c r="E74" s="8" t="s">
        <v>386</v>
      </c>
      <c r="F74" s="8" t="s">
        <v>378</v>
      </c>
      <c r="G74" s="8" t="s">
        <v>329</v>
      </c>
      <c r="H74" s="8" t="s">
        <v>45</v>
      </c>
      <c r="I74" s="8" t="s">
        <v>46</v>
      </c>
      <c r="J74" s="8" t="s">
        <v>55</v>
      </c>
      <c r="K74" s="8" t="s">
        <v>209</v>
      </c>
      <c r="L74" s="8" t="s">
        <v>49</v>
      </c>
      <c r="M74" s="9" t="s">
        <v>387</v>
      </c>
    </row>
    <row r="75" spans="1:13" ht="28" x14ac:dyDescent="0.2">
      <c r="A75" s="12" t="s">
        <v>308</v>
      </c>
      <c r="B75" s="12" t="s">
        <v>309</v>
      </c>
      <c r="C75" s="12" t="s">
        <v>296</v>
      </c>
      <c r="D75" s="12" t="s">
        <v>242</v>
      </c>
      <c r="E75" s="12" t="s">
        <v>310</v>
      </c>
      <c r="F75" s="12" t="s">
        <v>208</v>
      </c>
      <c r="G75" s="12" t="s">
        <v>298</v>
      </c>
      <c r="H75" s="12" t="s">
        <v>73</v>
      </c>
      <c r="I75" s="12" t="s">
        <v>46</v>
      </c>
      <c r="J75" s="12" t="s">
        <v>176</v>
      </c>
      <c r="K75" s="12" t="s">
        <v>209</v>
      </c>
      <c r="L75" s="12" t="s">
        <v>171</v>
      </c>
      <c r="M75" s="13" t="s">
        <v>311</v>
      </c>
    </row>
    <row r="76" spans="1:13" x14ac:dyDescent="0.2">
      <c r="A76" s="6" t="s">
        <v>276</v>
      </c>
      <c r="B76" s="6" t="s">
        <v>277</v>
      </c>
      <c r="C76" s="6" t="s">
        <v>256</v>
      </c>
      <c r="D76" s="6" t="s">
        <v>242</v>
      </c>
      <c r="E76" s="6" t="s">
        <v>278</v>
      </c>
      <c r="F76" s="6" t="s">
        <v>279</v>
      </c>
      <c r="G76" s="6" t="s">
        <v>244</v>
      </c>
      <c r="H76" s="6" t="s">
        <v>73</v>
      </c>
      <c r="I76" s="6" t="s">
        <v>46</v>
      </c>
      <c r="J76" s="6" t="s">
        <v>176</v>
      </c>
      <c r="K76" s="6" t="s">
        <v>189</v>
      </c>
      <c r="L76" s="6" t="s">
        <v>49</v>
      </c>
      <c r="M76" s="7" t="s">
        <v>280</v>
      </c>
    </row>
    <row r="77" spans="1:13" ht="42" x14ac:dyDescent="0.2">
      <c r="A77" s="12" t="s">
        <v>312</v>
      </c>
      <c r="B77" s="12" t="s">
        <v>313</v>
      </c>
      <c r="C77" s="12" t="s">
        <v>296</v>
      </c>
      <c r="D77" s="12" t="s">
        <v>242</v>
      </c>
      <c r="E77" s="12" t="s">
        <v>314</v>
      </c>
      <c r="F77" s="12" t="s">
        <v>208</v>
      </c>
      <c r="G77" s="12" t="s">
        <v>298</v>
      </c>
      <c r="H77" s="12" t="s">
        <v>73</v>
      </c>
      <c r="I77" s="12" t="s">
        <v>89</v>
      </c>
      <c r="J77" s="12" t="s">
        <v>74</v>
      </c>
      <c r="K77" s="12" t="s">
        <v>209</v>
      </c>
      <c r="L77" s="12" t="s">
        <v>49</v>
      </c>
      <c r="M77" s="13" t="s">
        <v>315</v>
      </c>
    </row>
    <row r="78" spans="1:13" x14ac:dyDescent="0.2">
      <c r="A78" s="8" t="s">
        <v>281</v>
      </c>
      <c r="B78" s="8" t="s">
        <v>282</v>
      </c>
      <c r="C78" s="8" t="s">
        <v>256</v>
      </c>
      <c r="D78" s="8" t="s">
        <v>242</v>
      </c>
      <c r="E78" s="8" t="s">
        <v>283</v>
      </c>
      <c r="F78" s="8" t="s">
        <v>72</v>
      </c>
      <c r="G78" s="8" t="s">
        <v>258</v>
      </c>
      <c r="H78" s="8" t="s">
        <v>73</v>
      </c>
      <c r="I78" s="8" t="s">
        <v>46</v>
      </c>
      <c r="J78" s="8" t="s">
        <v>74</v>
      </c>
      <c r="K78" s="8" t="s">
        <v>48</v>
      </c>
      <c r="L78" s="8" t="s">
        <v>49</v>
      </c>
      <c r="M78" s="9" t="s">
        <v>284</v>
      </c>
    </row>
    <row r="79" spans="1:13" x14ac:dyDescent="0.2">
      <c r="A79" s="8" t="s">
        <v>246</v>
      </c>
      <c r="B79" s="8" t="s">
        <v>247</v>
      </c>
      <c r="C79" s="8" t="s">
        <v>241</v>
      </c>
      <c r="D79" s="8" t="s">
        <v>242</v>
      </c>
      <c r="E79" s="8" t="s">
        <v>248</v>
      </c>
      <c r="F79" s="8" t="s">
        <v>72</v>
      </c>
      <c r="G79" s="8" t="s">
        <v>244</v>
      </c>
      <c r="H79" s="8" t="s">
        <v>73</v>
      </c>
      <c r="I79" s="8" t="s">
        <v>46</v>
      </c>
      <c r="J79" s="8" t="s">
        <v>74</v>
      </c>
      <c r="K79" s="8" t="s">
        <v>48</v>
      </c>
      <c r="L79" s="8" t="s">
        <v>49</v>
      </c>
      <c r="M79" s="9" t="s">
        <v>249</v>
      </c>
    </row>
    <row r="80" spans="1:13" x14ac:dyDescent="0.2">
      <c r="A80" s="6" t="s">
        <v>250</v>
      </c>
      <c r="B80" s="6" t="s">
        <v>251</v>
      </c>
      <c r="C80" s="6" t="s">
        <v>241</v>
      </c>
      <c r="D80" s="6" t="s">
        <v>242</v>
      </c>
      <c r="E80" s="6" t="s">
        <v>252</v>
      </c>
      <c r="F80" s="6" t="s">
        <v>72</v>
      </c>
      <c r="G80" s="6" t="s">
        <v>244</v>
      </c>
      <c r="H80" s="6" t="s">
        <v>73</v>
      </c>
      <c r="I80" s="6" t="s">
        <v>46</v>
      </c>
      <c r="J80" s="6" t="s">
        <v>74</v>
      </c>
      <c r="K80" s="6" t="s">
        <v>48</v>
      </c>
      <c r="L80" s="6" t="s">
        <v>49</v>
      </c>
      <c r="M80" s="7" t="s">
        <v>253</v>
      </c>
    </row>
    <row r="81" spans="1:13" ht="28" x14ac:dyDescent="0.2">
      <c r="A81" s="12" t="s">
        <v>304</v>
      </c>
      <c r="B81" s="12" t="s">
        <v>305</v>
      </c>
      <c r="C81" s="12" t="s">
        <v>296</v>
      </c>
      <c r="D81" s="12" t="s">
        <v>242</v>
      </c>
      <c r="E81" s="12" t="s">
        <v>306</v>
      </c>
      <c r="F81" s="12" t="s">
        <v>208</v>
      </c>
      <c r="G81" s="12" t="s">
        <v>298</v>
      </c>
      <c r="H81" s="12" t="s">
        <v>73</v>
      </c>
      <c r="I81" s="12" t="s">
        <v>89</v>
      </c>
      <c r="J81" s="12" t="s">
        <v>176</v>
      </c>
      <c r="K81" s="12" t="s">
        <v>209</v>
      </c>
      <c r="L81" s="12" t="s">
        <v>49</v>
      </c>
      <c r="M81" s="13" t="s">
        <v>307</v>
      </c>
    </row>
    <row r="82" spans="1:13" ht="28" x14ac:dyDescent="0.2">
      <c r="A82" s="10" t="s">
        <v>137</v>
      </c>
      <c r="B82" s="10" t="s">
        <v>138</v>
      </c>
      <c r="C82" s="10" t="s">
        <v>107</v>
      </c>
      <c r="D82" s="10" t="s">
        <v>108</v>
      </c>
      <c r="E82" s="10" t="s">
        <v>139</v>
      </c>
      <c r="F82" s="10" t="s">
        <v>110</v>
      </c>
      <c r="G82" s="10" t="s">
        <v>44</v>
      </c>
      <c r="H82" s="10" t="s">
        <v>45</v>
      </c>
      <c r="I82" s="10" t="s">
        <v>89</v>
      </c>
      <c r="J82" s="10" t="s">
        <v>111</v>
      </c>
      <c r="K82" s="10" t="s">
        <v>90</v>
      </c>
      <c r="L82" s="10" t="s">
        <v>49</v>
      </c>
      <c r="M82" s="11" t="s">
        <v>140</v>
      </c>
    </row>
    <row r="83" spans="1:13" ht="28" x14ac:dyDescent="0.2">
      <c r="A83" s="12" t="s">
        <v>451</v>
      </c>
      <c r="B83" s="12" t="s">
        <v>452</v>
      </c>
      <c r="C83" s="12" t="s">
        <v>432</v>
      </c>
      <c r="D83" s="12" t="s">
        <v>327</v>
      </c>
      <c r="E83" s="12" t="s">
        <v>453</v>
      </c>
      <c r="F83" s="12" t="s">
        <v>208</v>
      </c>
      <c r="G83" s="12" t="s">
        <v>434</v>
      </c>
      <c r="H83" s="12" t="s">
        <v>73</v>
      </c>
      <c r="I83" s="12" t="s">
        <v>46</v>
      </c>
      <c r="J83" s="12" t="s">
        <v>176</v>
      </c>
      <c r="K83" s="12" t="s">
        <v>209</v>
      </c>
      <c r="L83" s="12" t="s">
        <v>49</v>
      </c>
      <c r="M83" s="13" t="s">
        <v>454</v>
      </c>
    </row>
    <row r="84" spans="1:13" x14ac:dyDescent="0.2">
      <c r="A84" s="6" t="s">
        <v>388</v>
      </c>
      <c r="B84" s="6" t="s">
        <v>389</v>
      </c>
      <c r="C84" s="6" t="s">
        <v>354</v>
      </c>
      <c r="D84" s="6" t="s">
        <v>327</v>
      </c>
      <c r="E84" s="6" t="s">
        <v>390</v>
      </c>
      <c r="F84" s="6" t="s">
        <v>391</v>
      </c>
      <c r="G84" s="6" t="s">
        <v>329</v>
      </c>
      <c r="H84" s="6" t="s">
        <v>73</v>
      </c>
      <c r="I84" s="6" t="s">
        <v>46</v>
      </c>
      <c r="J84" s="6" t="s">
        <v>74</v>
      </c>
      <c r="K84" s="6" t="s">
        <v>392</v>
      </c>
      <c r="L84" s="6" t="s">
        <v>49</v>
      </c>
      <c r="M84" s="7" t="s">
        <v>393</v>
      </c>
    </row>
    <row r="85" spans="1:13" x14ac:dyDescent="0.2">
      <c r="A85" s="8" t="s">
        <v>494</v>
      </c>
      <c r="B85" s="8" t="s">
        <v>495</v>
      </c>
      <c r="C85" s="8" t="s">
        <v>465</v>
      </c>
      <c r="D85" s="8" t="s">
        <v>466</v>
      </c>
      <c r="E85" s="8" t="s">
        <v>496</v>
      </c>
      <c r="F85" s="8" t="s">
        <v>497</v>
      </c>
      <c r="G85" s="8" t="s">
        <v>44</v>
      </c>
      <c r="H85" s="8" t="s">
        <v>73</v>
      </c>
      <c r="I85" s="8" t="s">
        <v>46</v>
      </c>
      <c r="J85" s="8" t="s">
        <v>74</v>
      </c>
      <c r="K85" s="8" t="s">
        <v>498</v>
      </c>
      <c r="L85" s="8" t="s">
        <v>49</v>
      </c>
      <c r="M85" s="9" t="s">
        <v>499</v>
      </c>
    </row>
    <row r="86" spans="1:13" x14ac:dyDescent="0.2">
      <c r="A86" s="6" t="s">
        <v>500</v>
      </c>
      <c r="B86" s="6" t="s">
        <v>501</v>
      </c>
      <c r="C86" s="6" t="s">
        <v>465</v>
      </c>
      <c r="D86" s="6" t="s">
        <v>466</v>
      </c>
      <c r="E86" s="6" t="s">
        <v>502</v>
      </c>
      <c r="F86" s="6" t="s">
        <v>497</v>
      </c>
      <c r="G86" s="6" t="s">
        <v>44</v>
      </c>
      <c r="H86" s="6" t="s">
        <v>73</v>
      </c>
      <c r="I86" s="6" t="s">
        <v>46</v>
      </c>
      <c r="J86" s="6" t="s">
        <v>176</v>
      </c>
      <c r="K86" s="6" t="s">
        <v>498</v>
      </c>
      <c r="L86" s="6" t="s">
        <v>49</v>
      </c>
      <c r="M86" s="7" t="s">
        <v>503</v>
      </c>
    </row>
    <row r="87" spans="1:13" ht="28" x14ac:dyDescent="0.2">
      <c r="A87" s="12" t="s">
        <v>316</v>
      </c>
      <c r="B87" s="12" t="s">
        <v>317</v>
      </c>
      <c r="C87" s="12" t="s">
        <v>296</v>
      </c>
      <c r="D87" s="12" t="s">
        <v>242</v>
      </c>
      <c r="E87" s="12" t="s">
        <v>318</v>
      </c>
      <c r="F87" s="12" t="s">
        <v>208</v>
      </c>
      <c r="G87" s="12" t="s">
        <v>298</v>
      </c>
      <c r="H87" s="12" t="s">
        <v>73</v>
      </c>
      <c r="I87" s="12" t="s">
        <v>46</v>
      </c>
      <c r="J87" s="12" t="s">
        <v>176</v>
      </c>
      <c r="K87" s="12" t="s">
        <v>209</v>
      </c>
      <c r="L87" s="12" t="s">
        <v>49</v>
      </c>
      <c r="M87" s="13" t="s">
        <v>319</v>
      </c>
    </row>
    <row r="88" spans="1:13" x14ac:dyDescent="0.2">
      <c r="A88" s="8" t="s">
        <v>394</v>
      </c>
      <c r="B88" s="8" t="s">
        <v>395</v>
      </c>
      <c r="C88" s="8" t="s">
        <v>354</v>
      </c>
      <c r="D88" s="8" t="s">
        <v>327</v>
      </c>
      <c r="E88" s="8" t="s">
        <v>396</v>
      </c>
      <c r="F88" s="8" t="s">
        <v>72</v>
      </c>
      <c r="G88" s="8" t="s">
        <v>329</v>
      </c>
      <c r="H88" s="8" t="s">
        <v>73</v>
      </c>
      <c r="I88" s="8" t="s">
        <v>46</v>
      </c>
      <c r="J88" s="8" t="s">
        <v>176</v>
      </c>
      <c r="K88" s="8" t="s">
        <v>342</v>
      </c>
      <c r="L88" s="8" t="s">
        <v>49</v>
      </c>
      <c r="M88" s="9" t="s">
        <v>397</v>
      </c>
    </row>
    <row r="89" spans="1:13" x14ac:dyDescent="0.2">
      <c r="A89" s="6" t="s">
        <v>339</v>
      </c>
      <c r="B89" s="6" t="s">
        <v>340</v>
      </c>
      <c r="C89" s="6" t="s">
        <v>326</v>
      </c>
      <c r="D89" s="6" t="s">
        <v>327</v>
      </c>
      <c r="E89" s="6" t="s">
        <v>341</v>
      </c>
      <c r="F89" s="6" t="s">
        <v>72</v>
      </c>
      <c r="G89" s="6" t="s">
        <v>329</v>
      </c>
      <c r="H89" s="6" t="s">
        <v>73</v>
      </c>
      <c r="I89" s="6" t="s">
        <v>46</v>
      </c>
      <c r="J89" s="6" t="s">
        <v>74</v>
      </c>
      <c r="K89" s="6" t="s">
        <v>342</v>
      </c>
      <c r="L89" s="6" t="s">
        <v>49</v>
      </c>
      <c r="M89" s="7" t="s">
        <v>343</v>
      </c>
    </row>
    <row r="90" spans="1:13" x14ac:dyDescent="0.2">
      <c r="A90" s="6" t="s">
        <v>398</v>
      </c>
      <c r="B90" s="6" t="s">
        <v>399</v>
      </c>
      <c r="C90" s="6" t="s">
        <v>354</v>
      </c>
      <c r="D90" s="6" t="s">
        <v>327</v>
      </c>
      <c r="E90" s="6" t="s">
        <v>400</v>
      </c>
      <c r="F90" s="6" t="s">
        <v>378</v>
      </c>
      <c r="G90" s="6" t="s">
        <v>329</v>
      </c>
      <c r="H90" s="6" t="s">
        <v>73</v>
      </c>
      <c r="I90" s="6" t="s">
        <v>46</v>
      </c>
      <c r="J90" s="6" t="s">
        <v>176</v>
      </c>
      <c r="K90" s="6" t="s">
        <v>209</v>
      </c>
      <c r="L90" s="6" t="s">
        <v>49</v>
      </c>
      <c r="M90" s="7" t="s">
        <v>401</v>
      </c>
    </row>
    <row r="91" spans="1:13" ht="28" x14ac:dyDescent="0.2">
      <c r="A91" s="10" t="s">
        <v>141</v>
      </c>
      <c r="B91" s="10" t="s">
        <v>142</v>
      </c>
      <c r="C91" s="10" t="s">
        <v>107</v>
      </c>
      <c r="D91" s="10" t="s">
        <v>108</v>
      </c>
      <c r="E91" s="10" t="s">
        <v>143</v>
      </c>
      <c r="F91" s="10" t="s">
        <v>110</v>
      </c>
      <c r="G91" s="10" t="s">
        <v>44</v>
      </c>
      <c r="H91" s="10" t="s">
        <v>45</v>
      </c>
      <c r="I91" s="10" t="s">
        <v>89</v>
      </c>
      <c r="J91" s="10" t="s">
        <v>111</v>
      </c>
      <c r="K91" s="10" t="s">
        <v>90</v>
      </c>
      <c r="L91" s="10" t="s">
        <v>49</v>
      </c>
      <c r="M91" s="11" t="s">
        <v>144</v>
      </c>
    </row>
    <row r="92" spans="1:13" ht="28" x14ac:dyDescent="0.2">
      <c r="A92" s="12" t="s">
        <v>320</v>
      </c>
      <c r="B92" s="12" t="s">
        <v>321</v>
      </c>
      <c r="C92" s="12" t="s">
        <v>296</v>
      </c>
      <c r="D92" s="12" t="s">
        <v>242</v>
      </c>
      <c r="E92" s="12" t="s">
        <v>322</v>
      </c>
      <c r="F92" s="12" t="s">
        <v>208</v>
      </c>
      <c r="G92" s="12" t="s">
        <v>298</v>
      </c>
      <c r="H92" s="12" t="s">
        <v>73</v>
      </c>
      <c r="I92" s="12" t="s">
        <v>46</v>
      </c>
      <c r="J92" s="12" t="s">
        <v>176</v>
      </c>
      <c r="K92" s="12" t="s">
        <v>209</v>
      </c>
      <c r="L92" s="12" t="s">
        <v>171</v>
      </c>
      <c r="M92" s="13" t="s">
        <v>323</v>
      </c>
    </row>
    <row r="93" spans="1:13" ht="28" x14ac:dyDescent="0.2">
      <c r="A93" s="12" t="s">
        <v>235</v>
      </c>
      <c r="B93" s="12" t="s">
        <v>236</v>
      </c>
      <c r="C93" s="12" t="s">
        <v>206</v>
      </c>
      <c r="D93" s="12" t="s">
        <v>160</v>
      </c>
      <c r="E93" s="12" t="s">
        <v>237</v>
      </c>
      <c r="F93" s="12" t="s">
        <v>208</v>
      </c>
      <c r="G93" s="12" t="s">
        <v>162</v>
      </c>
      <c r="H93" s="12" t="s">
        <v>73</v>
      </c>
      <c r="I93" s="12" t="s">
        <v>46</v>
      </c>
      <c r="J93" s="12" t="s">
        <v>176</v>
      </c>
      <c r="K93" s="12" t="s">
        <v>209</v>
      </c>
      <c r="L93" s="12" t="s">
        <v>49</v>
      </c>
      <c r="M93" s="13" t="s">
        <v>238</v>
      </c>
    </row>
    <row r="94" spans="1:13" ht="42" x14ac:dyDescent="0.2">
      <c r="A94" s="8" t="s">
        <v>504</v>
      </c>
      <c r="B94" s="8" t="s">
        <v>505</v>
      </c>
      <c r="C94" s="8" t="s">
        <v>465</v>
      </c>
      <c r="D94" s="8" t="s">
        <v>466</v>
      </c>
      <c r="E94" s="8" t="s">
        <v>506</v>
      </c>
      <c r="F94" s="8" t="s">
        <v>54</v>
      </c>
      <c r="G94" s="8" t="s">
        <v>483</v>
      </c>
      <c r="H94" s="8" t="s">
        <v>45</v>
      </c>
      <c r="I94" s="8" t="s">
        <v>46</v>
      </c>
      <c r="J94" s="8" t="s">
        <v>484</v>
      </c>
      <c r="K94" s="8" t="s">
        <v>507</v>
      </c>
      <c r="L94" s="8" t="s">
        <v>49</v>
      </c>
      <c r="M94" s="9" t="s">
        <v>508</v>
      </c>
    </row>
    <row r="95" spans="1:13" x14ac:dyDescent="0.2">
      <c r="A95" s="8" t="s">
        <v>402</v>
      </c>
      <c r="B95" s="8" t="s">
        <v>403</v>
      </c>
      <c r="C95" s="8" t="s">
        <v>354</v>
      </c>
      <c r="D95" s="8" t="s">
        <v>327</v>
      </c>
      <c r="E95" s="8" t="s">
        <v>404</v>
      </c>
      <c r="F95" s="8" t="s">
        <v>72</v>
      </c>
      <c r="G95" s="8" t="s">
        <v>329</v>
      </c>
      <c r="H95" s="8" t="s">
        <v>73</v>
      </c>
      <c r="I95" s="8" t="s">
        <v>46</v>
      </c>
      <c r="J95" s="8" t="s">
        <v>74</v>
      </c>
      <c r="K95" s="8" t="s">
        <v>90</v>
      </c>
      <c r="L95" s="8" t="s">
        <v>49</v>
      </c>
      <c r="M95" s="9" t="s">
        <v>405</v>
      </c>
    </row>
    <row r="96" spans="1:13" ht="28" x14ac:dyDescent="0.2">
      <c r="A96" s="8" t="s">
        <v>145</v>
      </c>
      <c r="B96" s="8" t="s">
        <v>146</v>
      </c>
      <c r="C96" s="8" t="s">
        <v>107</v>
      </c>
      <c r="D96" s="8" t="s">
        <v>108</v>
      </c>
      <c r="E96" s="8" t="s">
        <v>147</v>
      </c>
      <c r="F96" s="8" t="s">
        <v>110</v>
      </c>
      <c r="G96" s="8" t="s">
        <v>44</v>
      </c>
      <c r="H96" s="8" t="s">
        <v>45</v>
      </c>
      <c r="I96" s="8" t="s">
        <v>46</v>
      </c>
      <c r="J96" s="8" t="s">
        <v>111</v>
      </c>
      <c r="K96" s="8" t="s">
        <v>90</v>
      </c>
      <c r="L96" s="8" t="s">
        <v>49</v>
      </c>
      <c r="M96" s="9" t="s">
        <v>148</v>
      </c>
    </row>
    <row r="97" spans="1:13" ht="28" x14ac:dyDescent="0.2">
      <c r="A97" s="8" t="s">
        <v>153</v>
      </c>
      <c r="B97" s="8" t="s">
        <v>154</v>
      </c>
      <c r="C97" s="8" t="s">
        <v>107</v>
      </c>
      <c r="D97" s="8" t="s">
        <v>108</v>
      </c>
      <c r="E97" s="8" t="s">
        <v>155</v>
      </c>
      <c r="F97" s="8" t="s">
        <v>110</v>
      </c>
      <c r="G97" s="8" t="s">
        <v>44</v>
      </c>
      <c r="H97" s="8" t="s">
        <v>45</v>
      </c>
      <c r="I97" s="8" t="s">
        <v>46</v>
      </c>
      <c r="J97" s="8" t="s">
        <v>111</v>
      </c>
      <c r="K97" s="8" t="s">
        <v>48</v>
      </c>
      <c r="L97" s="8" t="s">
        <v>49</v>
      </c>
      <c r="M97" s="9" t="s">
        <v>156</v>
      </c>
    </row>
    <row r="98" spans="1:13" x14ac:dyDescent="0.2">
      <c r="A98" s="6" t="s">
        <v>149</v>
      </c>
      <c r="B98" s="6" t="s">
        <v>150</v>
      </c>
      <c r="C98" s="6" t="s">
        <v>107</v>
      </c>
      <c r="D98" s="6" t="s">
        <v>108</v>
      </c>
      <c r="E98" s="6" t="s">
        <v>151</v>
      </c>
      <c r="F98" s="6" t="s">
        <v>110</v>
      </c>
      <c r="G98" s="6" t="s">
        <v>44</v>
      </c>
      <c r="H98" s="6" t="s">
        <v>45</v>
      </c>
      <c r="I98" s="6" t="s">
        <v>46</v>
      </c>
      <c r="J98" s="6" t="s">
        <v>111</v>
      </c>
      <c r="K98" s="6" t="s">
        <v>48</v>
      </c>
      <c r="L98" s="6" t="s">
        <v>49</v>
      </c>
      <c r="M98" s="7" t="s">
        <v>152</v>
      </c>
    </row>
    <row r="99" spans="1:13" x14ac:dyDescent="0.2">
      <c r="A99" s="6" t="s">
        <v>406</v>
      </c>
      <c r="B99" s="6" t="s">
        <v>407</v>
      </c>
      <c r="C99" s="6" t="s">
        <v>354</v>
      </c>
      <c r="D99" s="6" t="s">
        <v>327</v>
      </c>
      <c r="E99" s="6" t="s">
        <v>406</v>
      </c>
      <c r="F99" s="6" t="s">
        <v>72</v>
      </c>
      <c r="G99" s="6" t="s">
        <v>329</v>
      </c>
      <c r="H99" s="6" t="s">
        <v>73</v>
      </c>
      <c r="I99" s="6" t="s">
        <v>46</v>
      </c>
      <c r="J99" s="6" t="s">
        <v>176</v>
      </c>
      <c r="K99" s="6" t="s">
        <v>90</v>
      </c>
      <c r="L99" s="6" t="s">
        <v>49</v>
      </c>
      <c r="M99" s="7" t="s">
        <v>408</v>
      </c>
    </row>
    <row r="100" spans="1:13" ht="28" x14ac:dyDescent="0.2">
      <c r="A100" s="12" t="s">
        <v>455</v>
      </c>
      <c r="B100" s="12" t="s">
        <v>456</v>
      </c>
      <c r="C100" s="12" t="s">
        <v>432</v>
      </c>
      <c r="D100" s="12" t="s">
        <v>327</v>
      </c>
      <c r="E100" s="12" t="s">
        <v>457</v>
      </c>
      <c r="F100" s="12" t="s">
        <v>208</v>
      </c>
      <c r="G100" s="12" t="s">
        <v>434</v>
      </c>
      <c r="H100" s="12" t="s">
        <v>73</v>
      </c>
      <c r="I100" s="12" t="s">
        <v>89</v>
      </c>
      <c r="J100" s="12" t="s">
        <v>176</v>
      </c>
      <c r="K100" s="12" t="s">
        <v>209</v>
      </c>
      <c r="L100" s="12" t="s">
        <v>49</v>
      </c>
      <c r="M100" s="13" t="s">
        <v>458</v>
      </c>
    </row>
    <row r="101" spans="1:13" x14ac:dyDescent="0.2">
      <c r="A101" s="8" t="s">
        <v>344</v>
      </c>
      <c r="B101" s="8" t="s">
        <v>345</v>
      </c>
      <c r="C101" s="8" t="s">
        <v>326</v>
      </c>
      <c r="D101" s="8" t="s">
        <v>327</v>
      </c>
      <c r="E101" s="8" t="s">
        <v>346</v>
      </c>
      <c r="F101" s="8" t="s">
        <v>72</v>
      </c>
      <c r="G101" s="8" t="s">
        <v>329</v>
      </c>
      <c r="H101" s="8" t="s">
        <v>73</v>
      </c>
      <c r="I101" s="8" t="s">
        <v>46</v>
      </c>
      <c r="J101" s="8" t="s">
        <v>74</v>
      </c>
      <c r="K101" s="8" t="s">
        <v>189</v>
      </c>
      <c r="L101" s="8" t="s">
        <v>49</v>
      </c>
      <c r="M101" s="9" t="s">
        <v>347</v>
      </c>
    </row>
    <row r="102" spans="1:13" x14ac:dyDescent="0.2">
      <c r="A102" s="12" t="s">
        <v>459</v>
      </c>
      <c r="B102" s="12" t="s">
        <v>460</v>
      </c>
      <c r="C102" s="12" t="s">
        <v>432</v>
      </c>
      <c r="D102" s="12" t="s">
        <v>327</v>
      </c>
      <c r="E102" s="12" t="s">
        <v>461</v>
      </c>
      <c r="F102" s="12" t="s">
        <v>208</v>
      </c>
      <c r="G102" s="12" t="s">
        <v>434</v>
      </c>
      <c r="H102" s="12" t="s">
        <v>73</v>
      </c>
      <c r="I102" s="12" t="s">
        <v>46</v>
      </c>
      <c r="J102" s="12" t="s">
        <v>176</v>
      </c>
      <c r="K102" s="12" t="s">
        <v>209</v>
      </c>
      <c r="L102" s="12" t="s">
        <v>49</v>
      </c>
      <c r="M102" s="13" t="s">
        <v>462</v>
      </c>
    </row>
    <row r="103" spans="1:13" x14ac:dyDescent="0.2">
      <c r="A103" s="6" t="s">
        <v>348</v>
      </c>
      <c r="B103" s="6" t="s">
        <v>349</v>
      </c>
      <c r="C103" s="6" t="s">
        <v>326</v>
      </c>
      <c r="D103" s="6" t="s">
        <v>327</v>
      </c>
      <c r="E103" s="6" t="s">
        <v>350</v>
      </c>
      <c r="F103" s="6" t="s">
        <v>72</v>
      </c>
      <c r="G103" s="6" t="s">
        <v>329</v>
      </c>
      <c r="H103" s="6" t="s">
        <v>73</v>
      </c>
      <c r="I103" s="6" t="s">
        <v>46</v>
      </c>
      <c r="J103" s="6" t="s">
        <v>176</v>
      </c>
      <c r="K103" s="6" t="s">
        <v>48</v>
      </c>
      <c r="L103" s="6" t="s">
        <v>49</v>
      </c>
      <c r="M103" s="7" t="s">
        <v>351</v>
      </c>
    </row>
    <row r="104" spans="1:13" x14ac:dyDescent="0.2">
      <c r="A104" s="8" t="s">
        <v>409</v>
      </c>
      <c r="B104" s="8" t="s">
        <v>410</v>
      </c>
      <c r="C104" s="8" t="s">
        <v>354</v>
      </c>
      <c r="D104" s="8" t="s">
        <v>327</v>
      </c>
      <c r="E104" s="8" t="s">
        <v>411</v>
      </c>
      <c r="F104" s="8" t="s">
        <v>378</v>
      </c>
      <c r="G104" s="8" t="s">
        <v>329</v>
      </c>
      <c r="H104" s="8" t="s">
        <v>73</v>
      </c>
      <c r="I104" s="8" t="s">
        <v>46</v>
      </c>
      <c r="J104" s="8" t="s">
        <v>176</v>
      </c>
      <c r="K104" s="8" t="s">
        <v>209</v>
      </c>
      <c r="L104" s="8" t="s">
        <v>49</v>
      </c>
      <c r="M104" s="9" t="s">
        <v>412</v>
      </c>
    </row>
    <row r="105" spans="1:13" x14ac:dyDescent="0.2">
      <c r="A105" s="6" t="s">
        <v>413</v>
      </c>
      <c r="B105" s="6" t="s">
        <v>414</v>
      </c>
      <c r="C105" s="6" t="s">
        <v>354</v>
      </c>
      <c r="D105" s="6" t="s">
        <v>327</v>
      </c>
      <c r="E105" s="6" t="s">
        <v>415</v>
      </c>
      <c r="F105" s="6" t="s">
        <v>72</v>
      </c>
      <c r="G105" s="6" t="s">
        <v>329</v>
      </c>
      <c r="H105" s="6" t="s">
        <v>73</v>
      </c>
      <c r="I105" s="6" t="s">
        <v>46</v>
      </c>
      <c r="J105" s="6" t="s">
        <v>176</v>
      </c>
      <c r="K105" s="6" t="s">
        <v>342</v>
      </c>
      <c r="L105" s="6" t="s">
        <v>49</v>
      </c>
      <c r="M105" s="7" t="s">
        <v>416</v>
      </c>
    </row>
  </sheetData>
  <autoFilter ref="A1:M105" xr:uid="{00000000-0009-0000-0000-000001000000}">
    <sortState xmlns:xlrd2="http://schemas.microsoft.com/office/spreadsheetml/2017/richdata2" ref="A2:M105">
      <sortCondition ref="A1:A105"/>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1"/>
  <sheetViews>
    <sheetView workbookViewId="0">
      <pane ySplit="1" topLeftCell="A2" activePane="bottomLeft" state="frozen"/>
      <selection pane="bottomLeft" activeCell="A19" sqref="A19"/>
    </sheetView>
  </sheetViews>
  <sheetFormatPr baseColWidth="10" defaultColWidth="8.83203125" defaultRowHeight="15" x14ac:dyDescent="0.2"/>
  <cols>
    <col min="1" max="1" width="40" customWidth="1"/>
    <col min="2" max="2" width="30" customWidth="1"/>
    <col min="3" max="3" width="16" customWidth="1"/>
    <col min="4" max="4" width="18" customWidth="1"/>
    <col min="5" max="6" width="20" customWidth="1"/>
    <col min="7" max="7" width="26" customWidth="1"/>
  </cols>
  <sheetData>
    <row r="1" spans="1:7" ht="30" customHeight="1" x14ac:dyDescent="0.2">
      <c r="A1" s="14" t="s">
        <v>509</v>
      </c>
      <c r="B1" s="14" t="s">
        <v>27</v>
      </c>
      <c r="C1" s="14" t="s">
        <v>510</v>
      </c>
      <c r="D1" s="14" t="s">
        <v>511</v>
      </c>
      <c r="E1" s="14" t="s">
        <v>512</v>
      </c>
      <c r="F1" s="14" t="s">
        <v>513</v>
      </c>
      <c r="G1" s="14" t="s">
        <v>514</v>
      </c>
    </row>
    <row r="2" spans="1:7" x14ac:dyDescent="0.2">
      <c r="A2" s="15" t="s">
        <v>158</v>
      </c>
      <c r="B2" s="15" t="s">
        <v>159</v>
      </c>
      <c r="C2" s="16">
        <v>149913</v>
      </c>
      <c r="D2" s="17">
        <v>1</v>
      </c>
      <c r="E2" s="15">
        <v>1999</v>
      </c>
      <c r="F2" s="15">
        <v>2025</v>
      </c>
      <c r="G2" s="15" t="s">
        <v>48</v>
      </c>
    </row>
    <row r="3" spans="1:7" x14ac:dyDescent="0.2">
      <c r="A3" s="18" t="s">
        <v>240</v>
      </c>
      <c r="B3" s="18" t="s">
        <v>241</v>
      </c>
      <c r="C3" s="19">
        <v>149913</v>
      </c>
      <c r="D3" s="20">
        <v>1</v>
      </c>
      <c r="E3" s="18">
        <v>1999</v>
      </c>
      <c r="F3" s="18">
        <v>2025</v>
      </c>
      <c r="G3" s="18" t="s">
        <v>48</v>
      </c>
    </row>
    <row r="4" spans="1:7" x14ac:dyDescent="0.2">
      <c r="A4" s="15" t="s">
        <v>165</v>
      </c>
      <c r="B4" s="15" t="s">
        <v>159</v>
      </c>
      <c r="C4" s="16">
        <v>149913</v>
      </c>
      <c r="D4" s="17">
        <v>1</v>
      </c>
      <c r="E4" s="15">
        <v>1999</v>
      </c>
      <c r="F4" s="15">
        <v>2025</v>
      </c>
      <c r="G4" s="15" t="s">
        <v>48</v>
      </c>
    </row>
    <row r="5" spans="1:7" x14ac:dyDescent="0.2">
      <c r="A5" s="18" t="s">
        <v>70</v>
      </c>
      <c r="B5" s="18" t="s">
        <v>40</v>
      </c>
      <c r="C5" s="19">
        <v>149913</v>
      </c>
      <c r="D5" s="20">
        <v>1</v>
      </c>
      <c r="E5" s="18">
        <v>1999</v>
      </c>
      <c r="F5" s="18">
        <v>2025</v>
      </c>
      <c r="G5" s="18" t="s">
        <v>48</v>
      </c>
    </row>
    <row r="6" spans="1:7" x14ac:dyDescent="0.2">
      <c r="A6" s="15" t="s">
        <v>77</v>
      </c>
      <c r="B6" s="15" t="s">
        <v>40</v>
      </c>
      <c r="C6" s="16">
        <v>149913</v>
      </c>
      <c r="D6" s="17">
        <v>1</v>
      </c>
      <c r="E6" s="15">
        <v>1999</v>
      </c>
      <c r="F6" s="15">
        <v>2025</v>
      </c>
      <c r="G6" s="15" t="s">
        <v>48</v>
      </c>
    </row>
    <row r="7" spans="1:7" x14ac:dyDescent="0.2">
      <c r="A7" s="18" t="s">
        <v>81</v>
      </c>
      <c r="B7" s="18" t="s">
        <v>40</v>
      </c>
      <c r="C7" s="19">
        <v>149913</v>
      </c>
      <c r="D7" s="20">
        <v>1</v>
      </c>
      <c r="E7" s="18">
        <v>1999</v>
      </c>
      <c r="F7" s="18">
        <v>2025</v>
      </c>
      <c r="G7" s="18" t="s">
        <v>48</v>
      </c>
    </row>
    <row r="8" spans="1:7" x14ac:dyDescent="0.2">
      <c r="A8" s="15" t="s">
        <v>473</v>
      </c>
      <c r="B8" s="15" t="s">
        <v>465</v>
      </c>
      <c r="C8" s="16">
        <v>149913</v>
      </c>
      <c r="D8" s="17">
        <v>1</v>
      </c>
      <c r="E8" s="15">
        <v>1999</v>
      </c>
      <c r="F8" s="15">
        <v>2025</v>
      </c>
      <c r="G8" s="15" t="s">
        <v>48</v>
      </c>
    </row>
    <row r="9" spans="1:7" x14ac:dyDescent="0.2">
      <c r="A9" s="18" t="s">
        <v>477</v>
      </c>
      <c r="B9" s="18" t="s">
        <v>465</v>
      </c>
      <c r="C9" s="19">
        <v>149913</v>
      </c>
      <c r="D9" s="20">
        <v>1</v>
      </c>
      <c r="E9" s="18">
        <v>1999</v>
      </c>
      <c r="F9" s="18">
        <v>2025</v>
      </c>
      <c r="G9" s="18" t="s">
        <v>48</v>
      </c>
    </row>
    <row r="10" spans="1:7" x14ac:dyDescent="0.2">
      <c r="A10" s="15" t="s">
        <v>169</v>
      </c>
      <c r="B10" s="15" t="s">
        <v>159</v>
      </c>
      <c r="C10" s="16">
        <v>149913</v>
      </c>
      <c r="D10" s="17">
        <v>1</v>
      </c>
      <c r="E10" s="15">
        <v>1999</v>
      </c>
      <c r="F10" s="15">
        <v>2025</v>
      </c>
      <c r="G10" s="15" t="s">
        <v>48</v>
      </c>
    </row>
    <row r="11" spans="1:7" x14ac:dyDescent="0.2">
      <c r="A11" s="18" t="s">
        <v>179</v>
      </c>
      <c r="B11" s="18" t="s">
        <v>159</v>
      </c>
      <c r="C11" s="19">
        <v>149913</v>
      </c>
      <c r="D11" s="20">
        <v>1</v>
      </c>
      <c r="E11" s="18">
        <v>1999</v>
      </c>
      <c r="F11" s="18">
        <v>2025</v>
      </c>
      <c r="G11" s="18" t="s">
        <v>48</v>
      </c>
    </row>
    <row r="12" spans="1:7" x14ac:dyDescent="0.2">
      <c r="A12" s="15" t="s">
        <v>183</v>
      </c>
      <c r="B12" s="15" t="s">
        <v>159</v>
      </c>
      <c r="C12" s="16">
        <v>149913</v>
      </c>
      <c r="D12" s="17">
        <v>1</v>
      </c>
      <c r="E12" s="15">
        <v>1999</v>
      </c>
      <c r="F12" s="15">
        <v>2025</v>
      </c>
      <c r="G12" s="15" t="s">
        <v>48</v>
      </c>
    </row>
    <row r="13" spans="1:7" x14ac:dyDescent="0.2">
      <c r="A13" s="18" t="s">
        <v>325</v>
      </c>
      <c r="B13" s="18" t="s">
        <v>326</v>
      </c>
      <c r="C13" s="19">
        <v>149913</v>
      </c>
      <c r="D13" s="20">
        <v>1</v>
      </c>
      <c r="E13" s="18">
        <v>1999</v>
      </c>
      <c r="F13" s="18">
        <v>2025</v>
      </c>
      <c r="G13" s="18" t="s">
        <v>48</v>
      </c>
    </row>
    <row r="14" spans="1:7" x14ac:dyDescent="0.2">
      <c r="A14" s="15" t="s">
        <v>332</v>
      </c>
      <c r="B14" s="15" t="s">
        <v>326</v>
      </c>
      <c r="C14" s="16">
        <v>149913</v>
      </c>
      <c r="D14" s="17">
        <v>1</v>
      </c>
      <c r="E14" s="15">
        <v>1999</v>
      </c>
      <c r="F14" s="15">
        <v>2025</v>
      </c>
      <c r="G14" s="15" t="s">
        <v>48</v>
      </c>
    </row>
    <row r="15" spans="1:7" x14ac:dyDescent="0.2">
      <c r="A15" s="18" t="s">
        <v>336</v>
      </c>
      <c r="B15" s="18" t="s">
        <v>326</v>
      </c>
      <c r="C15" s="19">
        <v>149913</v>
      </c>
      <c r="D15" s="20">
        <v>1</v>
      </c>
      <c r="E15" s="18">
        <v>1999</v>
      </c>
      <c r="F15" s="18">
        <v>2025</v>
      </c>
      <c r="G15" s="18" t="s">
        <v>48</v>
      </c>
    </row>
    <row r="16" spans="1:7" x14ac:dyDescent="0.2">
      <c r="A16" s="15" t="s">
        <v>247</v>
      </c>
      <c r="B16" s="15" t="s">
        <v>241</v>
      </c>
      <c r="C16" s="16">
        <v>149913</v>
      </c>
      <c r="D16" s="17">
        <v>1</v>
      </c>
      <c r="E16" s="15">
        <v>1999</v>
      </c>
      <c r="F16" s="15">
        <v>2025</v>
      </c>
      <c r="G16" s="15" t="s">
        <v>48</v>
      </c>
    </row>
    <row r="17" spans="1:7" x14ac:dyDescent="0.2">
      <c r="A17" s="18" t="s">
        <v>251</v>
      </c>
      <c r="B17" s="18" t="s">
        <v>241</v>
      </c>
      <c r="C17" s="19">
        <v>149913</v>
      </c>
      <c r="D17" s="20">
        <v>1</v>
      </c>
      <c r="E17" s="18">
        <v>1999</v>
      </c>
      <c r="F17" s="18">
        <v>2025</v>
      </c>
      <c r="G17" s="18" t="s">
        <v>48</v>
      </c>
    </row>
    <row r="18" spans="1:7" x14ac:dyDescent="0.2">
      <c r="A18" s="15" t="s">
        <v>273</v>
      </c>
      <c r="B18" s="15" t="s">
        <v>256</v>
      </c>
      <c r="C18" s="16">
        <v>138362</v>
      </c>
      <c r="D18" s="17">
        <v>0.92299999999999993</v>
      </c>
      <c r="E18" s="15">
        <v>1999</v>
      </c>
      <c r="F18" s="15">
        <v>2025</v>
      </c>
      <c r="G18" s="15" t="s">
        <v>48</v>
      </c>
    </row>
    <row r="19" spans="1:7" x14ac:dyDescent="0.2">
      <c r="A19" s="18" t="s">
        <v>464</v>
      </c>
      <c r="B19" s="18" t="s">
        <v>465</v>
      </c>
      <c r="C19" s="19">
        <v>132908</v>
      </c>
      <c r="D19" s="20">
        <v>0.88700000000000001</v>
      </c>
      <c r="E19" s="18">
        <v>1999</v>
      </c>
      <c r="F19" s="18">
        <v>2025</v>
      </c>
      <c r="G19" s="18" t="s">
        <v>48</v>
      </c>
    </row>
    <row r="20" spans="1:7" x14ac:dyDescent="0.2">
      <c r="A20" s="15" t="s">
        <v>395</v>
      </c>
      <c r="B20" s="15" t="s">
        <v>354</v>
      </c>
      <c r="C20" s="16">
        <v>118777</v>
      </c>
      <c r="D20" s="17">
        <v>0.79200000000000004</v>
      </c>
      <c r="E20" s="15">
        <v>1999</v>
      </c>
      <c r="F20" s="15">
        <v>2025</v>
      </c>
      <c r="G20" s="15" t="s">
        <v>342</v>
      </c>
    </row>
    <row r="21" spans="1:7" x14ac:dyDescent="0.2">
      <c r="A21" s="18" t="s">
        <v>340</v>
      </c>
      <c r="B21" s="18" t="s">
        <v>326</v>
      </c>
      <c r="C21" s="19">
        <v>118777</v>
      </c>
      <c r="D21" s="20">
        <v>0.79200000000000004</v>
      </c>
      <c r="E21" s="18">
        <v>1999</v>
      </c>
      <c r="F21" s="18">
        <v>2025</v>
      </c>
      <c r="G21" s="18" t="s">
        <v>342</v>
      </c>
    </row>
    <row r="22" spans="1:7" x14ac:dyDescent="0.2">
      <c r="A22" s="15" t="s">
        <v>345</v>
      </c>
      <c r="B22" s="15" t="s">
        <v>326</v>
      </c>
      <c r="C22" s="16">
        <v>113311</v>
      </c>
      <c r="D22" s="17">
        <v>0.75599999999999989</v>
      </c>
      <c r="E22" s="15">
        <v>2006</v>
      </c>
      <c r="F22" s="15">
        <v>2025</v>
      </c>
      <c r="G22" s="15" t="s">
        <v>189</v>
      </c>
    </row>
    <row r="23" spans="1:7" x14ac:dyDescent="0.2">
      <c r="A23" s="18" t="s">
        <v>368</v>
      </c>
      <c r="B23" s="18" t="s">
        <v>354</v>
      </c>
      <c r="C23" s="19">
        <v>106492</v>
      </c>
      <c r="D23" s="20">
        <v>0.71</v>
      </c>
      <c r="E23" s="18">
        <v>1999</v>
      </c>
      <c r="F23" s="18">
        <v>2025</v>
      </c>
      <c r="G23" s="18" t="s">
        <v>48</v>
      </c>
    </row>
    <row r="24" spans="1:7" x14ac:dyDescent="0.2">
      <c r="A24" s="15" t="s">
        <v>487</v>
      </c>
      <c r="B24" s="15" t="s">
        <v>465</v>
      </c>
      <c r="C24" s="16">
        <v>101659</v>
      </c>
      <c r="D24" s="17">
        <v>0.67799999999999994</v>
      </c>
      <c r="E24" s="15">
        <v>2006</v>
      </c>
      <c r="F24" s="15">
        <v>2025</v>
      </c>
      <c r="G24" s="15" t="s">
        <v>189</v>
      </c>
    </row>
    <row r="25" spans="1:7" x14ac:dyDescent="0.2">
      <c r="A25" s="18" t="s">
        <v>277</v>
      </c>
      <c r="B25" s="18" t="s">
        <v>256</v>
      </c>
      <c r="C25" s="19">
        <v>101659</v>
      </c>
      <c r="D25" s="20">
        <v>0.67799999999999994</v>
      </c>
      <c r="E25" s="18">
        <v>2006</v>
      </c>
      <c r="F25" s="18">
        <v>2025</v>
      </c>
      <c r="G25" s="18" t="s">
        <v>189</v>
      </c>
    </row>
    <row r="26" spans="1:7" x14ac:dyDescent="0.2">
      <c r="A26" s="15" t="s">
        <v>357</v>
      </c>
      <c r="B26" s="15" t="s">
        <v>354</v>
      </c>
      <c r="C26" s="16">
        <v>97767</v>
      </c>
      <c r="D26" s="17">
        <v>0.65200000000000002</v>
      </c>
      <c r="E26" s="15">
        <v>2009</v>
      </c>
      <c r="F26" s="15">
        <v>2025</v>
      </c>
      <c r="G26" s="15" t="s">
        <v>90</v>
      </c>
    </row>
    <row r="27" spans="1:7" x14ac:dyDescent="0.2">
      <c r="A27" s="18" t="s">
        <v>361</v>
      </c>
      <c r="B27" s="18" t="s">
        <v>354</v>
      </c>
      <c r="C27" s="19">
        <v>97767</v>
      </c>
      <c r="D27" s="20">
        <v>0.65200000000000002</v>
      </c>
      <c r="E27" s="18">
        <v>2009</v>
      </c>
      <c r="F27" s="18">
        <v>2025</v>
      </c>
      <c r="G27" s="18" t="s">
        <v>90</v>
      </c>
    </row>
    <row r="28" spans="1:7" x14ac:dyDescent="0.2">
      <c r="A28" s="15" t="s">
        <v>407</v>
      </c>
      <c r="B28" s="15" t="s">
        <v>354</v>
      </c>
      <c r="C28" s="16">
        <v>97767</v>
      </c>
      <c r="D28" s="17">
        <v>0.65200000000000002</v>
      </c>
      <c r="E28" s="15">
        <v>2009</v>
      </c>
      <c r="F28" s="15">
        <v>2025</v>
      </c>
      <c r="G28" s="15" t="s">
        <v>90</v>
      </c>
    </row>
    <row r="29" spans="1:7" x14ac:dyDescent="0.2">
      <c r="A29" s="18" t="s">
        <v>349</v>
      </c>
      <c r="B29" s="18" t="s">
        <v>326</v>
      </c>
      <c r="C29" s="19">
        <v>96997</v>
      </c>
      <c r="D29" s="20">
        <v>0.64700000000000002</v>
      </c>
      <c r="E29" s="18">
        <v>1999</v>
      </c>
      <c r="F29" s="18">
        <v>2025</v>
      </c>
      <c r="G29" s="18" t="s">
        <v>48</v>
      </c>
    </row>
    <row r="30" spans="1:7" x14ac:dyDescent="0.2">
      <c r="A30" s="15" t="s">
        <v>192</v>
      </c>
      <c r="B30" s="15" t="s">
        <v>193</v>
      </c>
      <c r="C30" s="16">
        <v>88230</v>
      </c>
      <c r="D30" s="17">
        <v>0.58899999999999997</v>
      </c>
      <c r="E30" s="15">
        <v>2009</v>
      </c>
      <c r="F30" s="15">
        <v>2025</v>
      </c>
      <c r="G30" s="15" t="s">
        <v>90</v>
      </c>
    </row>
    <row r="31" spans="1:7" x14ac:dyDescent="0.2">
      <c r="A31" s="18" t="s">
        <v>491</v>
      </c>
      <c r="B31" s="18" t="s">
        <v>465</v>
      </c>
      <c r="C31" s="19">
        <v>88230</v>
      </c>
      <c r="D31" s="20">
        <v>0.58899999999999997</v>
      </c>
      <c r="E31" s="18">
        <v>2009</v>
      </c>
      <c r="F31" s="18">
        <v>2025</v>
      </c>
      <c r="G31" s="18" t="s">
        <v>90</v>
      </c>
    </row>
    <row r="32" spans="1:7" x14ac:dyDescent="0.2">
      <c r="A32" s="15" t="s">
        <v>197</v>
      </c>
      <c r="B32" s="15" t="s">
        <v>193</v>
      </c>
      <c r="C32" s="16">
        <v>88230</v>
      </c>
      <c r="D32" s="17">
        <v>0.58899999999999997</v>
      </c>
      <c r="E32" s="15">
        <v>2009</v>
      </c>
      <c r="F32" s="15">
        <v>2025</v>
      </c>
      <c r="G32" s="15" t="s">
        <v>90</v>
      </c>
    </row>
    <row r="33" spans="1:7" x14ac:dyDescent="0.2">
      <c r="A33" s="18" t="s">
        <v>201</v>
      </c>
      <c r="B33" s="18" t="s">
        <v>193</v>
      </c>
      <c r="C33" s="19">
        <v>88230</v>
      </c>
      <c r="D33" s="20">
        <v>0.58899999999999997</v>
      </c>
      <c r="E33" s="18">
        <v>2009</v>
      </c>
      <c r="F33" s="18">
        <v>2025</v>
      </c>
      <c r="G33" s="18" t="s">
        <v>90</v>
      </c>
    </row>
    <row r="34" spans="1:7" x14ac:dyDescent="0.2">
      <c r="A34" s="15" t="s">
        <v>418</v>
      </c>
      <c r="B34" s="15" t="s">
        <v>419</v>
      </c>
      <c r="C34" s="16">
        <v>88230</v>
      </c>
      <c r="D34" s="17">
        <v>0.58899999999999997</v>
      </c>
      <c r="E34" s="15">
        <v>2009</v>
      </c>
      <c r="F34" s="15">
        <v>2025</v>
      </c>
      <c r="G34" s="15" t="s">
        <v>90</v>
      </c>
    </row>
    <row r="35" spans="1:7" x14ac:dyDescent="0.2">
      <c r="A35" s="18" t="s">
        <v>423</v>
      </c>
      <c r="B35" s="18" t="s">
        <v>419</v>
      </c>
      <c r="C35" s="19">
        <v>88230</v>
      </c>
      <c r="D35" s="20">
        <v>0.58899999999999997</v>
      </c>
      <c r="E35" s="18">
        <v>2009</v>
      </c>
      <c r="F35" s="18">
        <v>2025</v>
      </c>
      <c r="G35" s="18" t="s">
        <v>90</v>
      </c>
    </row>
    <row r="36" spans="1:7" x14ac:dyDescent="0.2">
      <c r="A36" s="15" t="s">
        <v>427</v>
      </c>
      <c r="B36" s="15" t="s">
        <v>419</v>
      </c>
      <c r="C36" s="16">
        <v>88230</v>
      </c>
      <c r="D36" s="17">
        <v>0.58899999999999997</v>
      </c>
      <c r="E36" s="15">
        <v>2009</v>
      </c>
      <c r="F36" s="15">
        <v>2025</v>
      </c>
      <c r="G36" s="15" t="s">
        <v>90</v>
      </c>
    </row>
    <row r="37" spans="1:7" x14ac:dyDescent="0.2">
      <c r="A37" s="18" t="s">
        <v>286</v>
      </c>
      <c r="B37" s="18" t="s">
        <v>287</v>
      </c>
      <c r="C37" s="19">
        <v>88230</v>
      </c>
      <c r="D37" s="20">
        <v>0.58899999999999997</v>
      </c>
      <c r="E37" s="18">
        <v>2009</v>
      </c>
      <c r="F37" s="18">
        <v>2025</v>
      </c>
      <c r="G37" s="18" t="s">
        <v>90</v>
      </c>
    </row>
    <row r="38" spans="1:7" x14ac:dyDescent="0.2">
      <c r="A38" s="15" t="s">
        <v>291</v>
      </c>
      <c r="B38" s="15" t="s">
        <v>287</v>
      </c>
      <c r="C38" s="16">
        <v>88230</v>
      </c>
      <c r="D38" s="17">
        <v>0.58899999999999997</v>
      </c>
      <c r="E38" s="15">
        <v>2009</v>
      </c>
      <c r="F38" s="15">
        <v>2025</v>
      </c>
      <c r="G38" s="15" t="s">
        <v>90</v>
      </c>
    </row>
    <row r="39" spans="1:7" x14ac:dyDescent="0.2">
      <c r="A39" s="18" t="s">
        <v>85</v>
      </c>
      <c r="B39" s="18" t="s">
        <v>86</v>
      </c>
      <c r="C39" s="19">
        <v>88230</v>
      </c>
      <c r="D39" s="20">
        <v>0.58899999999999997</v>
      </c>
      <c r="E39" s="18">
        <v>2009</v>
      </c>
      <c r="F39" s="18">
        <v>2025</v>
      </c>
      <c r="G39" s="18" t="s">
        <v>90</v>
      </c>
    </row>
    <row r="40" spans="1:7" x14ac:dyDescent="0.2">
      <c r="A40" s="15" t="s">
        <v>414</v>
      </c>
      <c r="B40" s="15" t="s">
        <v>354</v>
      </c>
      <c r="C40" s="16">
        <v>86101</v>
      </c>
      <c r="D40" s="17">
        <v>0.57399999999999995</v>
      </c>
      <c r="E40" s="15">
        <v>1999</v>
      </c>
      <c r="F40" s="15">
        <v>2025</v>
      </c>
      <c r="G40" s="15" t="s">
        <v>342</v>
      </c>
    </row>
    <row r="41" spans="1:7" x14ac:dyDescent="0.2">
      <c r="A41" s="18" t="s">
        <v>495</v>
      </c>
      <c r="B41" s="18" t="s">
        <v>465</v>
      </c>
      <c r="C41" s="19">
        <v>75764</v>
      </c>
      <c r="D41" s="20">
        <v>0.505</v>
      </c>
      <c r="E41" s="18">
        <v>2013</v>
      </c>
      <c r="F41" s="18">
        <v>2025</v>
      </c>
      <c r="G41" s="18" t="s">
        <v>498</v>
      </c>
    </row>
    <row r="42" spans="1:7" x14ac:dyDescent="0.2">
      <c r="A42" s="15" t="s">
        <v>501</v>
      </c>
      <c r="B42" s="15" t="s">
        <v>465</v>
      </c>
      <c r="C42" s="16">
        <v>75764</v>
      </c>
      <c r="D42" s="17">
        <v>0.505</v>
      </c>
      <c r="E42" s="15">
        <v>2013</v>
      </c>
      <c r="F42" s="15">
        <v>2025</v>
      </c>
      <c r="G42" s="15" t="s">
        <v>498</v>
      </c>
    </row>
    <row r="43" spans="1:7" x14ac:dyDescent="0.2">
      <c r="A43" s="18" t="s">
        <v>353</v>
      </c>
      <c r="B43" s="18" t="s">
        <v>354</v>
      </c>
      <c r="C43" s="19">
        <v>71597</v>
      </c>
      <c r="D43" s="20">
        <v>0.47799999999999998</v>
      </c>
      <c r="E43" s="18">
        <v>2009</v>
      </c>
      <c r="F43" s="18">
        <v>2025</v>
      </c>
      <c r="G43" s="18" t="s">
        <v>90</v>
      </c>
    </row>
    <row r="44" spans="1:7" x14ac:dyDescent="0.2">
      <c r="A44" s="15" t="s">
        <v>365</v>
      </c>
      <c r="B44" s="15" t="s">
        <v>354</v>
      </c>
      <c r="C44" s="16">
        <v>71117</v>
      </c>
      <c r="D44" s="17">
        <v>0.47399999999999998</v>
      </c>
      <c r="E44" s="15">
        <v>2009</v>
      </c>
      <c r="F44" s="15">
        <v>2025</v>
      </c>
      <c r="G44" s="15" t="s">
        <v>90</v>
      </c>
    </row>
    <row r="45" spans="1:7" x14ac:dyDescent="0.2">
      <c r="A45" s="18" t="s">
        <v>282</v>
      </c>
      <c r="B45" s="18" t="s">
        <v>256</v>
      </c>
      <c r="C45" s="19">
        <v>54819</v>
      </c>
      <c r="D45" s="20">
        <v>0.36599999999999999</v>
      </c>
      <c r="E45" s="18">
        <v>1999</v>
      </c>
      <c r="F45" s="18">
        <v>2025</v>
      </c>
      <c r="G45" s="18" t="s">
        <v>48</v>
      </c>
    </row>
    <row r="46" spans="1:7" x14ac:dyDescent="0.2">
      <c r="A46" s="15" t="s">
        <v>403</v>
      </c>
      <c r="B46" s="15" t="s">
        <v>354</v>
      </c>
      <c r="C46" s="16">
        <v>49641</v>
      </c>
      <c r="D46" s="17">
        <v>0.33100000000000002</v>
      </c>
      <c r="E46" s="15">
        <v>2009</v>
      </c>
      <c r="F46" s="15">
        <v>2025</v>
      </c>
      <c r="G46" s="15" t="s">
        <v>90</v>
      </c>
    </row>
    <row r="47" spans="1:7" x14ac:dyDescent="0.2">
      <c r="A47" s="18" t="s">
        <v>376</v>
      </c>
      <c r="B47" s="18" t="s">
        <v>354</v>
      </c>
      <c r="C47" s="19">
        <v>49241</v>
      </c>
      <c r="D47" s="20">
        <v>0.32800000000000001</v>
      </c>
      <c r="E47" s="18">
        <v>2016</v>
      </c>
      <c r="F47" s="18">
        <v>2025</v>
      </c>
      <c r="G47" s="18" t="s">
        <v>209</v>
      </c>
    </row>
    <row r="48" spans="1:7" x14ac:dyDescent="0.2">
      <c r="A48" s="15" t="s">
        <v>381</v>
      </c>
      <c r="B48" s="15" t="s">
        <v>354</v>
      </c>
      <c r="C48" s="16">
        <v>49241</v>
      </c>
      <c r="D48" s="17">
        <v>0.32800000000000001</v>
      </c>
      <c r="E48" s="15">
        <v>2016</v>
      </c>
      <c r="F48" s="15">
        <v>2025</v>
      </c>
      <c r="G48" s="15" t="s">
        <v>209</v>
      </c>
    </row>
    <row r="49" spans="1:7" x14ac:dyDescent="0.2">
      <c r="A49" s="18" t="s">
        <v>399</v>
      </c>
      <c r="B49" s="18" t="s">
        <v>354</v>
      </c>
      <c r="C49" s="19">
        <v>49241</v>
      </c>
      <c r="D49" s="20">
        <v>0.32800000000000001</v>
      </c>
      <c r="E49" s="18">
        <v>2016</v>
      </c>
      <c r="F49" s="18">
        <v>2025</v>
      </c>
      <c r="G49" s="18" t="s">
        <v>209</v>
      </c>
    </row>
    <row r="50" spans="1:7" x14ac:dyDescent="0.2">
      <c r="A50" s="15" t="s">
        <v>410</v>
      </c>
      <c r="B50" s="15" t="s">
        <v>354</v>
      </c>
      <c r="C50" s="16">
        <v>49241</v>
      </c>
      <c r="D50" s="17">
        <v>0.32800000000000001</v>
      </c>
      <c r="E50" s="15">
        <v>2016</v>
      </c>
      <c r="F50" s="15">
        <v>2025</v>
      </c>
      <c r="G50" s="15" t="s">
        <v>209</v>
      </c>
    </row>
    <row r="51" spans="1:7" x14ac:dyDescent="0.2">
      <c r="A51" s="18" t="s">
        <v>372</v>
      </c>
      <c r="B51" s="18" t="s">
        <v>354</v>
      </c>
      <c r="C51" s="19">
        <v>33287</v>
      </c>
      <c r="D51" s="20">
        <v>0.222</v>
      </c>
      <c r="E51" s="18">
        <v>1999</v>
      </c>
      <c r="F51" s="18">
        <v>2025</v>
      </c>
      <c r="G51" s="18" t="s">
        <v>342</v>
      </c>
    </row>
    <row r="52" spans="1:7" x14ac:dyDescent="0.2">
      <c r="A52" s="15" t="s">
        <v>269</v>
      </c>
      <c r="B52" s="15" t="s">
        <v>256</v>
      </c>
      <c r="C52" s="16">
        <v>26788</v>
      </c>
      <c r="D52" s="17">
        <v>0.17899999999999999</v>
      </c>
      <c r="E52" s="15">
        <v>1999</v>
      </c>
      <c r="F52" s="15">
        <v>2025</v>
      </c>
      <c r="G52" s="15" t="s">
        <v>48</v>
      </c>
    </row>
    <row r="53" spans="1:7" x14ac:dyDescent="0.2">
      <c r="A53" s="18" t="s">
        <v>255</v>
      </c>
      <c r="B53" s="18" t="s">
        <v>256</v>
      </c>
      <c r="C53" s="19">
        <v>18060</v>
      </c>
      <c r="D53" s="20">
        <v>0.12</v>
      </c>
      <c r="E53" s="18">
        <v>1999</v>
      </c>
      <c r="F53" s="18">
        <v>2025</v>
      </c>
      <c r="G53" s="18" t="s">
        <v>48</v>
      </c>
    </row>
    <row r="54" spans="1:7" x14ac:dyDescent="0.2">
      <c r="A54" s="15" t="s">
        <v>174</v>
      </c>
      <c r="B54" s="15" t="s">
        <v>159</v>
      </c>
      <c r="C54" s="16">
        <v>17452</v>
      </c>
      <c r="D54" s="17">
        <v>0.11600000000000001</v>
      </c>
      <c r="E54" s="15">
        <v>1999</v>
      </c>
      <c r="F54" s="15">
        <v>2025</v>
      </c>
      <c r="G54" s="15" t="s">
        <v>48</v>
      </c>
    </row>
    <row r="55" spans="1:7" x14ac:dyDescent="0.2">
      <c r="A55" s="21" t="s">
        <v>437</v>
      </c>
      <c r="B55" s="21" t="s">
        <v>432</v>
      </c>
      <c r="C55" s="22">
        <v>13409</v>
      </c>
      <c r="D55" s="23">
        <v>8.900000000000001E-2</v>
      </c>
      <c r="E55" s="21">
        <v>2016</v>
      </c>
      <c r="F55" s="21">
        <v>2025</v>
      </c>
      <c r="G55" s="21" t="s">
        <v>209</v>
      </c>
    </row>
    <row r="56" spans="1:7" x14ac:dyDescent="0.2">
      <c r="A56" s="21" t="s">
        <v>441</v>
      </c>
      <c r="B56" s="21" t="s">
        <v>432</v>
      </c>
      <c r="C56" s="22">
        <v>13406</v>
      </c>
      <c r="D56" s="23">
        <v>8.900000000000001E-2</v>
      </c>
      <c r="E56" s="21">
        <v>2016</v>
      </c>
      <c r="F56" s="21">
        <v>2025</v>
      </c>
      <c r="G56" s="21" t="s">
        <v>209</v>
      </c>
    </row>
    <row r="57" spans="1:7" x14ac:dyDescent="0.2">
      <c r="A57" s="21" t="s">
        <v>445</v>
      </c>
      <c r="B57" s="21" t="s">
        <v>432</v>
      </c>
      <c r="C57" s="22">
        <v>13352</v>
      </c>
      <c r="D57" s="23">
        <v>8.900000000000001E-2</v>
      </c>
      <c r="E57" s="21">
        <v>2016</v>
      </c>
      <c r="F57" s="21">
        <v>2025</v>
      </c>
      <c r="G57" s="21" t="s">
        <v>209</v>
      </c>
    </row>
    <row r="58" spans="1:7" x14ac:dyDescent="0.2">
      <c r="A58" s="21" t="s">
        <v>448</v>
      </c>
      <c r="B58" s="21" t="s">
        <v>432</v>
      </c>
      <c r="C58" s="22">
        <v>13409</v>
      </c>
      <c r="D58" s="23">
        <v>8.900000000000001E-2</v>
      </c>
      <c r="E58" s="21">
        <v>2016</v>
      </c>
      <c r="F58" s="21">
        <v>2025</v>
      </c>
      <c r="G58" s="21" t="s">
        <v>209</v>
      </c>
    </row>
    <row r="59" spans="1:7" x14ac:dyDescent="0.2">
      <c r="A59" s="21" t="s">
        <v>431</v>
      </c>
      <c r="B59" s="21" t="s">
        <v>432</v>
      </c>
      <c r="C59" s="22">
        <v>13409</v>
      </c>
      <c r="D59" s="23">
        <v>8.900000000000001E-2</v>
      </c>
      <c r="E59" s="21">
        <v>2016</v>
      </c>
      <c r="F59" s="21">
        <v>2025</v>
      </c>
      <c r="G59" s="21" t="s">
        <v>209</v>
      </c>
    </row>
    <row r="60" spans="1:7" x14ac:dyDescent="0.2">
      <c r="A60" s="21" t="s">
        <v>452</v>
      </c>
      <c r="B60" s="21" t="s">
        <v>432</v>
      </c>
      <c r="C60" s="22">
        <v>13409</v>
      </c>
      <c r="D60" s="23">
        <v>8.900000000000001E-2</v>
      </c>
      <c r="E60" s="21">
        <v>2016</v>
      </c>
      <c r="F60" s="21">
        <v>2025</v>
      </c>
      <c r="G60" s="21" t="s">
        <v>209</v>
      </c>
    </row>
    <row r="61" spans="1:7" x14ac:dyDescent="0.2">
      <c r="A61" s="21" t="s">
        <v>460</v>
      </c>
      <c r="B61" s="21" t="s">
        <v>432</v>
      </c>
      <c r="C61" s="22">
        <v>13363</v>
      </c>
      <c r="D61" s="23">
        <v>8.900000000000001E-2</v>
      </c>
      <c r="E61" s="21">
        <v>2016</v>
      </c>
      <c r="F61" s="21">
        <v>2025</v>
      </c>
      <c r="G61" s="21" t="s">
        <v>209</v>
      </c>
    </row>
    <row r="62" spans="1:7" x14ac:dyDescent="0.2">
      <c r="A62" s="21" t="s">
        <v>456</v>
      </c>
      <c r="B62" s="21" t="s">
        <v>432</v>
      </c>
      <c r="C62" s="22">
        <v>13352</v>
      </c>
      <c r="D62" s="23">
        <v>8.900000000000001E-2</v>
      </c>
      <c r="E62" s="21">
        <v>2016</v>
      </c>
      <c r="F62" s="21">
        <v>2025</v>
      </c>
      <c r="G62" s="21" t="s">
        <v>209</v>
      </c>
    </row>
    <row r="63" spans="1:7" x14ac:dyDescent="0.2">
      <c r="A63" s="18" t="s">
        <v>187</v>
      </c>
      <c r="B63" s="18" t="s">
        <v>188</v>
      </c>
      <c r="C63" s="19">
        <v>12829</v>
      </c>
      <c r="D63" s="20">
        <v>8.5999999999999993E-2</v>
      </c>
      <c r="E63" s="18">
        <v>2006</v>
      </c>
      <c r="F63" s="18">
        <v>2025</v>
      </c>
      <c r="G63" s="18" t="s">
        <v>189</v>
      </c>
    </row>
    <row r="64" spans="1:7" x14ac:dyDescent="0.2">
      <c r="A64" s="15" t="s">
        <v>265</v>
      </c>
      <c r="B64" s="15" t="s">
        <v>256</v>
      </c>
      <c r="C64" s="16">
        <v>12333</v>
      </c>
      <c r="D64" s="17">
        <v>8.199999999999999E-2</v>
      </c>
      <c r="E64" s="15">
        <v>1999</v>
      </c>
      <c r="F64" s="15">
        <v>2025</v>
      </c>
      <c r="G64" s="15" t="s">
        <v>48</v>
      </c>
    </row>
    <row r="65" spans="1:7" x14ac:dyDescent="0.2">
      <c r="A65" s="18" t="s">
        <v>261</v>
      </c>
      <c r="B65" s="18" t="s">
        <v>256</v>
      </c>
      <c r="C65" s="19">
        <v>7835</v>
      </c>
      <c r="D65" s="20">
        <v>5.1999999999999998E-2</v>
      </c>
      <c r="E65" s="18">
        <v>1999</v>
      </c>
      <c r="F65" s="18">
        <v>2025</v>
      </c>
      <c r="G65" s="18" t="s">
        <v>48</v>
      </c>
    </row>
    <row r="66" spans="1:7" x14ac:dyDescent="0.2">
      <c r="A66" s="21" t="s">
        <v>205</v>
      </c>
      <c r="B66" s="21" t="s">
        <v>206</v>
      </c>
      <c r="C66" s="22">
        <v>5506</v>
      </c>
      <c r="D66" s="23">
        <v>3.7000000000000012E-2</v>
      </c>
      <c r="E66" s="21">
        <v>2016</v>
      </c>
      <c r="F66" s="21">
        <v>2025</v>
      </c>
      <c r="G66" s="21" t="s">
        <v>209</v>
      </c>
    </row>
    <row r="67" spans="1:7" x14ac:dyDescent="0.2">
      <c r="A67" s="21" t="s">
        <v>212</v>
      </c>
      <c r="B67" s="21" t="s">
        <v>206</v>
      </c>
      <c r="C67" s="22">
        <v>5506</v>
      </c>
      <c r="D67" s="23">
        <v>3.7000000000000012E-2</v>
      </c>
      <c r="E67" s="21">
        <v>2016</v>
      </c>
      <c r="F67" s="21">
        <v>2025</v>
      </c>
      <c r="G67" s="21" t="s">
        <v>209</v>
      </c>
    </row>
    <row r="68" spans="1:7" x14ac:dyDescent="0.2">
      <c r="A68" s="21" t="s">
        <v>216</v>
      </c>
      <c r="B68" s="21" t="s">
        <v>206</v>
      </c>
      <c r="C68" s="22">
        <v>5506</v>
      </c>
      <c r="D68" s="23">
        <v>3.7000000000000012E-2</v>
      </c>
      <c r="E68" s="21">
        <v>2016</v>
      </c>
      <c r="F68" s="21">
        <v>2025</v>
      </c>
      <c r="G68" s="21" t="s">
        <v>209</v>
      </c>
    </row>
    <row r="69" spans="1:7" x14ac:dyDescent="0.2">
      <c r="A69" s="21" t="s">
        <v>224</v>
      </c>
      <c r="B69" s="21" t="s">
        <v>206</v>
      </c>
      <c r="C69" s="22">
        <v>5506</v>
      </c>
      <c r="D69" s="23">
        <v>3.7000000000000012E-2</v>
      </c>
      <c r="E69" s="21">
        <v>2016</v>
      </c>
      <c r="F69" s="21">
        <v>2025</v>
      </c>
      <c r="G69" s="21" t="s">
        <v>209</v>
      </c>
    </row>
    <row r="70" spans="1:7" x14ac:dyDescent="0.2">
      <c r="A70" s="21" t="s">
        <v>220</v>
      </c>
      <c r="B70" s="21" t="s">
        <v>206</v>
      </c>
      <c r="C70" s="22">
        <v>5505</v>
      </c>
      <c r="D70" s="23">
        <v>3.7000000000000012E-2</v>
      </c>
      <c r="E70" s="21">
        <v>2016</v>
      </c>
      <c r="F70" s="21">
        <v>2025</v>
      </c>
      <c r="G70" s="21" t="s">
        <v>209</v>
      </c>
    </row>
    <row r="71" spans="1:7" x14ac:dyDescent="0.2">
      <c r="A71" s="21" t="s">
        <v>228</v>
      </c>
      <c r="B71" s="21" t="s">
        <v>206</v>
      </c>
      <c r="C71" s="22">
        <v>5505</v>
      </c>
      <c r="D71" s="23">
        <v>3.7000000000000012E-2</v>
      </c>
      <c r="E71" s="21">
        <v>2016</v>
      </c>
      <c r="F71" s="21">
        <v>2025</v>
      </c>
      <c r="G71" s="21" t="s">
        <v>209</v>
      </c>
    </row>
    <row r="72" spans="1:7" x14ac:dyDescent="0.2">
      <c r="A72" s="21" t="s">
        <v>232</v>
      </c>
      <c r="B72" s="21" t="s">
        <v>206</v>
      </c>
      <c r="C72" s="22">
        <v>5506</v>
      </c>
      <c r="D72" s="23">
        <v>3.7000000000000012E-2</v>
      </c>
      <c r="E72" s="21">
        <v>2016</v>
      </c>
      <c r="F72" s="21">
        <v>2025</v>
      </c>
      <c r="G72" s="21" t="s">
        <v>209</v>
      </c>
    </row>
    <row r="73" spans="1:7" x14ac:dyDescent="0.2">
      <c r="A73" s="21" t="s">
        <v>236</v>
      </c>
      <c r="B73" s="21" t="s">
        <v>206</v>
      </c>
      <c r="C73" s="22">
        <v>5506</v>
      </c>
      <c r="D73" s="23">
        <v>3.7000000000000012E-2</v>
      </c>
      <c r="E73" s="21">
        <v>2016</v>
      </c>
      <c r="F73" s="21">
        <v>2025</v>
      </c>
      <c r="G73" s="21" t="s">
        <v>209</v>
      </c>
    </row>
    <row r="74" spans="1:7" x14ac:dyDescent="0.2">
      <c r="A74" s="21" t="s">
        <v>309</v>
      </c>
      <c r="B74" s="21" t="s">
        <v>296</v>
      </c>
      <c r="C74" s="22">
        <v>5531</v>
      </c>
      <c r="D74" s="23">
        <v>3.7000000000000012E-2</v>
      </c>
      <c r="E74" s="21">
        <v>2016</v>
      </c>
      <c r="F74" s="21">
        <v>2025</v>
      </c>
      <c r="G74" s="21" t="s">
        <v>209</v>
      </c>
    </row>
    <row r="75" spans="1:7" x14ac:dyDescent="0.2">
      <c r="A75" s="21" t="s">
        <v>317</v>
      </c>
      <c r="B75" s="21" t="s">
        <v>296</v>
      </c>
      <c r="C75" s="22">
        <v>5531</v>
      </c>
      <c r="D75" s="23">
        <v>3.7000000000000012E-2</v>
      </c>
      <c r="E75" s="21">
        <v>2016</v>
      </c>
      <c r="F75" s="21">
        <v>2025</v>
      </c>
      <c r="G75" s="21" t="s">
        <v>209</v>
      </c>
    </row>
    <row r="76" spans="1:7" x14ac:dyDescent="0.2">
      <c r="A76" s="21" t="s">
        <v>321</v>
      </c>
      <c r="B76" s="21" t="s">
        <v>296</v>
      </c>
      <c r="C76" s="22">
        <v>5531</v>
      </c>
      <c r="D76" s="23">
        <v>3.7000000000000012E-2</v>
      </c>
      <c r="E76" s="21">
        <v>2016</v>
      </c>
      <c r="F76" s="21">
        <v>2025</v>
      </c>
      <c r="G76" s="21" t="s">
        <v>209</v>
      </c>
    </row>
    <row r="77" spans="1:7" x14ac:dyDescent="0.2">
      <c r="A77" s="21" t="s">
        <v>301</v>
      </c>
      <c r="B77" s="21" t="s">
        <v>296</v>
      </c>
      <c r="C77" s="22">
        <v>4467</v>
      </c>
      <c r="D77" s="23">
        <v>0.03</v>
      </c>
      <c r="E77" s="21">
        <v>2018</v>
      </c>
      <c r="F77" s="21">
        <v>2025</v>
      </c>
      <c r="G77" s="21" t="s">
        <v>209</v>
      </c>
    </row>
    <row r="78" spans="1:7" x14ac:dyDescent="0.2">
      <c r="A78" s="21" t="s">
        <v>295</v>
      </c>
      <c r="B78" s="21" t="s">
        <v>296</v>
      </c>
      <c r="C78" s="22">
        <v>4467</v>
      </c>
      <c r="D78" s="23">
        <v>0.03</v>
      </c>
      <c r="E78" s="21">
        <v>2018</v>
      </c>
      <c r="F78" s="21">
        <v>2025</v>
      </c>
      <c r="G78" s="21" t="s">
        <v>209</v>
      </c>
    </row>
    <row r="79" spans="1:7" x14ac:dyDescent="0.2">
      <c r="A79" s="21" t="s">
        <v>313</v>
      </c>
      <c r="B79" s="21" t="s">
        <v>296</v>
      </c>
      <c r="C79" s="22">
        <v>4467</v>
      </c>
      <c r="D79" s="23">
        <v>0.03</v>
      </c>
      <c r="E79" s="21">
        <v>2018</v>
      </c>
      <c r="F79" s="21">
        <v>2025</v>
      </c>
      <c r="G79" s="21" t="s">
        <v>209</v>
      </c>
    </row>
    <row r="80" spans="1:7" x14ac:dyDescent="0.2">
      <c r="A80" s="21" t="s">
        <v>305</v>
      </c>
      <c r="B80" s="21" t="s">
        <v>296</v>
      </c>
      <c r="C80" s="22">
        <v>4467</v>
      </c>
      <c r="D80" s="23">
        <v>0.03</v>
      </c>
      <c r="E80" s="21">
        <v>2018</v>
      </c>
      <c r="F80" s="21">
        <v>2025</v>
      </c>
      <c r="G80" s="21" t="s">
        <v>209</v>
      </c>
    </row>
    <row r="81" spans="1:7" x14ac:dyDescent="0.2">
      <c r="A81" s="18" t="s">
        <v>389</v>
      </c>
      <c r="B81" s="18" t="s">
        <v>354</v>
      </c>
      <c r="C81" s="19">
        <v>0</v>
      </c>
      <c r="D81" s="20">
        <v>0</v>
      </c>
      <c r="E81" s="18" t="s">
        <v>515</v>
      </c>
      <c r="F81" s="18" t="s">
        <v>515</v>
      </c>
      <c r="G81" s="18" t="s">
        <v>392</v>
      </c>
    </row>
  </sheetData>
  <autoFilter ref="A1:G8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4"/>
  <sheetViews>
    <sheetView showGridLines="0" workbookViewId="0">
      <selection activeCell="C19" sqref="C19"/>
    </sheetView>
  </sheetViews>
  <sheetFormatPr baseColWidth="10" defaultColWidth="8.83203125" defaultRowHeight="15" x14ac:dyDescent="0.2"/>
  <cols>
    <col min="1" max="1" width="32" customWidth="1"/>
    <col min="2" max="2" width="10" customWidth="1"/>
    <col min="3" max="3" width="62" customWidth="1"/>
    <col min="4" max="4" width="30" customWidth="1"/>
    <col min="5" max="5" width="10" customWidth="1"/>
  </cols>
  <sheetData>
    <row r="1" spans="1:5" ht="16" x14ac:dyDescent="0.2">
      <c r="A1" s="24" t="s">
        <v>516</v>
      </c>
    </row>
    <row r="2" spans="1:5" ht="44" customHeight="1" x14ac:dyDescent="0.2">
      <c r="A2" s="34" t="s">
        <v>517</v>
      </c>
      <c r="B2" s="30"/>
      <c r="C2" s="30"/>
      <c r="D2" s="30"/>
      <c r="E2" s="30"/>
    </row>
    <row r="4" spans="1:5" x14ac:dyDescent="0.2">
      <c r="A4" s="25" t="s">
        <v>518</v>
      </c>
      <c r="B4" s="25"/>
      <c r="C4" s="25" t="s">
        <v>519</v>
      </c>
      <c r="D4" s="25"/>
      <c r="E4" s="25"/>
    </row>
    <row r="5" spans="1:5" ht="28" x14ac:dyDescent="0.2">
      <c r="A5" s="8" t="s">
        <v>520</v>
      </c>
      <c r="B5" s="8"/>
      <c r="C5" s="9" t="s">
        <v>521</v>
      </c>
      <c r="D5" s="9"/>
      <c r="E5" s="9"/>
    </row>
    <row r="6" spans="1:5" x14ac:dyDescent="0.2">
      <c r="A6" s="8" t="s">
        <v>522</v>
      </c>
      <c r="B6" s="8"/>
      <c r="C6" s="9" t="s">
        <v>523</v>
      </c>
      <c r="D6" s="9"/>
      <c r="E6" s="9"/>
    </row>
    <row r="7" spans="1:5" x14ac:dyDescent="0.2">
      <c r="A7" s="8" t="s">
        <v>524</v>
      </c>
      <c r="B7" s="8"/>
      <c r="C7" s="9" t="s">
        <v>525</v>
      </c>
      <c r="D7" s="9"/>
      <c r="E7" s="9"/>
    </row>
    <row r="8" spans="1:5" x14ac:dyDescent="0.2">
      <c r="A8" s="8" t="s">
        <v>526</v>
      </c>
      <c r="B8" s="8"/>
      <c r="C8" s="9" t="s">
        <v>527</v>
      </c>
      <c r="D8" s="9"/>
      <c r="E8" s="9"/>
    </row>
    <row r="9" spans="1:5" x14ac:dyDescent="0.2">
      <c r="A9" s="8" t="s">
        <v>528</v>
      </c>
      <c r="B9" s="8"/>
      <c r="C9" s="9" t="s">
        <v>529</v>
      </c>
      <c r="D9" s="9"/>
      <c r="E9" s="9"/>
    </row>
    <row r="12" spans="1:5" ht="16" x14ac:dyDescent="0.2">
      <c r="A12" s="24" t="s">
        <v>530</v>
      </c>
    </row>
    <row r="13" spans="1:5" ht="44" customHeight="1" x14ac:dyDescent="0.2">
      <c r="A13" s="34" t="s">
        <v>531</v>
      </c>
      <c r="B13" s="30"/>
      <c r="C13" s="30"/>
      <c r="D13" s="30"/>
      <c r="E13" s="30"/>
    </row>
    <row r="15" spans="1:5" x14ac:dyDescent="0.2">
      <c r="A15" s="25" t="s">
        <v>532</v>
      </c>
      <c r="B15" s="25" t="s">
        <v>533</v>
      </c>
      <c r="C15" s="25" t="s">
        <v>534</v>
      </c>
      <c r="D15" s="25" t="s">
        <v>535</v>
      </c>
      <c r="E15" s="25"/>
    </row>
    <row r="16" spans="1:5" x14ac:dyDescent="0.2">
      <c r="A16" s="8" t="s">
        <v>536</v>
      </c>
      <c r="B16" s="26">
        <v>0.5</v>
      </c>
      <c r="C16" s="9" t="s">
        <v>537</v>
      </c>
      <c r="D16" s="9" t="s">
        <v>538</v>
      </c>
      <c r="E16" s="9"/>
    </row>
    <row r="17" spans="1:5" x14ac:dyDescent="0.2">
      <c r="A17" s="8" t="s">
        <v>539</v>
      </c>
      <c r="B17" s="26">
        <v>0.3</v>
      </c>
      <c r="C17" s="9" t="s">
        <v>162</v>
      </c>
      <c r="D17" s="9"/>
      <c r="E17" s="9"/>
    </row>
    <row r="18" spans="1:5" x14ac:dyDescent="0.2">
      <c r="A18" s="8" t="s">
        <v>540</v>
      </c>
      <c r="B18" s="26">
        <v>0.2</v>
      </c>
      <c r="C18" s="9" t="s">
        <v>162</v>
      </c>
      <c r="D18" s="9"/>
      <c r="E18" s="9"/>
    </row>
    <row r="19" spans="1:5" ht="28" x14ac:dyDescent="0.2">
      <c r="A19" s="8" t="s">
        <v>541</v>
      </c>
      <c r="B19" s="26">
        <v>0.2</v>
      </c>
      <c r="C19" s="9" t="s">
        <v>298</v>
      </c>
      <c r="D19" s="9" t="s">
        <v>542</v>
      </c>
      <c r="E19" s="9"/>
    </row>
    <row r="20" spans="1:5" x14ac:dyDescent="0.2">
      <c r="A20" s="8" t="s">
        <v>543</v>
      </c>
      <c r="B20" s="26">
        <v>0.15</v>
      </c>
      <c r="C20" s="9" t="s">
        <v>298</v>
      </c>
      <c r="D20" s="9"/>
      <c r="E20" s="9"/>
    </row>
    <row r="21" spans="1:5" x14ac:dyDescent="0.2">
      <c r="A21" s="8" t="s">
        <v>544</v>
      </c>
      <c r="B21" s="26">
        <v>0.15</v>
      </c>
      <c r="C21" s="9" t="s">
        <v>483</v>
      </c>
      <c r="D21" s="9"/>
      <c r="E21" s="9"/>
    </row>
    <row r="22" spans="1:5" x14ac:dyDescent="0.2">
      <c r="A22" s="8" t="s">
        <v>545</v>
      </c>
      <c r="B22" s="26">
        <v>0.2</v>
      </c>
      <c r="C22" s="9" t="s">
        <v>434</v>
      </c>
      <c r="D22" s="9"/>
      <c r="E22" s="9"/>
    </row>
    <row r="23" spans="1:5" x14ac:dyDescent="0.2">
      <c r="A23" s="8" t="s">
        <v>546</v>
      </c>
      <c r="B23" s="26">
        <v>0.15</v>
      </c>
      <c r="C23" s="9" t="s">
        <v>434</v>
      </c>
      <c r="D23" s="9"/>
      <c r="E23" s="9"/>
    </row>
    <row r="26" spans="1:5" ht="16" x14ac:dyDescent="0.2">
      <c r="A26" s="24" t="s">
        <v>547</v>
      </c>
    </row>
    <row r="27" spans="1:5" ht="44" customHeight="1" x14ac:dyDescent="0.2">
      <c r="A27" s="34" t="s">
        <v>548</v>
      </c>
      <c r="B27" s="30"/>
      <c r="C27" s="30"/>
      <c r="D27" s="30"/>
      <c r="E27" s="30"/>
    </row>
    <row r="29" spans="1:5" x14ac:dyDescent="0.2">
      <c r="A29" s="25" t="s">
        <v>532</v>
      </c>
      <c r="B29" s="25" t="s">
        <v>533</v>
      </c>
      <c r="C29" s="25" t="s">
        <v>36</v>
      </c>
      <c r="D29" s="25" t="s">
        <v>535</v>
      </c>
      <c r="E29" s="25"/>
    </row>
    <row r="30" spans="1:5" x14ac:dyDescent="0.2">
      <c r="A30" s="8" t="s">
        <v>549</v>
      </c>
      <c r="B30" s="26">
        <v>0.4</v>
      </c>
      <c r="C30" s="9" t="s">
        <v>550</v>
      </c>
      <c r="D30" s="9" t="s">
        <v>551</v>
      </c>
      <c r="E30" s="9"/>
    </row>
    <row r="31" spans="1:5" x14ac:dyDescent="0.2">
      <c r="A31" s="8" t="s">
        <v>121</v>
      </c>
      <c r="B31" s="26">
        <v>0.3</v>
      </c>
      <c r="C31" s="9" t="s">
        <v>552</v>
      </c>
      <c r="D31" s="9" t="s">
        <v>553</v>
      </c>
      <c r="E31" s="9"/>
    </row>
    <row r="32" spans="1:5" x14ac:dyDescent="0.2">
      <c r="A32" s="8" t="s">
        <v>554</v>
      </c>
      <c r="B32" s="26">
        <v>0.15</v>
      </c>
      <c r="C32" s="9" t="s">
        <v>550</v>
      </c>
      <c r="D32" s="9" t="s">
        <v>555</v>
      </c>
      <c r="E32" s="9"/>
    </row>
    <row r="33" spans="1:5" x14ac:dyDescent="0.2">
      <c r="A33" s="8" t="s">
        <v>38</v>
      </c>
      <c r="B33" s="26">
        <v>0.15</v>
      </c>
      <c r="C33" s="9" t="s">
        <v>550</v>
      </c>
      <c r="D33" s="9" t="s">
        <v>556</v>
      </c>
      <c r="E33" s="9"/>
    </row>
    <row r="36" spans="1:5" ht="16" x14ac:dyDescent="0.2">
      <c r="A36" s="24" t="s">
        <v>557</v>
      </c>
    </row>
    <row r="37" spans="1:5" ht="44" customHeight="1" x14ac:dyDescent="0.2">
      <c r="A37" s="34" t="s">
        <v>558</v>
      </c>
      <c r="B37" s="30"/>
      <c r="C37" s="30"/>
      <c r="D37" s="30"/>
      <c r="E37" s="30"/>
    </row>
    <row r="39" spans="1:5" x14ac:dyDescent="0.2">
      <c r="A39" s="25" t="s">
        <v>532</v>
      </c>
      <c r="B39" s="25" t="s">
        <v>533</v>
      </c>
      <c r="C39" s="25" t="s">
        <v>36</v>
      </c>
      <c r="D39" s="25" t="s">
        <v>535</v>
      </c>
      <c r="E39" s="25"/>
    </row>
    <row r="40" spans="1:5" x14ac:dyDescent="0.2">
      <c r="A40" s="8" t="s">
        <v>549</v>
      </c>
      <c r="B40" s="26">
        <v>0.35</v>
      </c>
      <c r="C40" s="9" t="s">
        <v>552</v>
      </c>
      <c r="D40" s="9" t="s">
        <v>559</v>
      </c>
      <c r="E40" s="9"/>
    </row>
    <row r="41" spans="1:5" x14ac:dyDescent="0.2">
      <c r="A41" s="8" t="s">
        <v>554</v>
      </c>
      <c r="B41" s="26">
        <v>0.2</v>
      </c>
      <c r="C41" s="9" t="s">
        <v>552</v>
      </c>
      <c r="D41" s="9" t="s">
        <v>560</v>
      </c>
      <c r="E41" s="9"/>
    </row>
    <row r="42" spans="1:5" ht="56" x14ac:dyDescent="0.2">
      <c r="A42" s="8" t="s">
        <v>561</v>
      </c>
      <c r="B42" s="26">
        <v>0.2</v>
      </c>
      <c r="C42" s="9" t="s">
        <v>552</v>
      </c>
      <c r="D42" s="9" t="s">
        <v>562</v>
      </c>
      <c r="E42" s="9"/>
    </row>
    <row r="43" spans="1:5" ht="42" x14ac:dyDescent="0.2">
      <c r="A43" s="8" t="s">
        <v>563</v>
      </c>
      <c r="B43" s="26">
        <v>0.15</v>
      </c>
      <c r="C43" s="9" t="s">
        <v>550</v>
      </c>
      <c r="D43" s="9" t="s">
        <v>564</v>
      </c>
      <c r="E43" s="9"/>
    </row>
    <row r="44" spans="1:5" x14ac:dyDescent="0.2">
      <c r="A44" s="8" t="s">
        <v>38</v>
      </c>
      <c r="B44" s="26">
        <v>0.1</v>
      </c>
      <c r="C44" s="9" t="s">
        <v>552</v>
      </c>
      <c r="D44" s="9"/>
      <c r="E44" s="9"/>
    </row>
  </sheetData>
  <mergeCells count="4">
    <mergeCell ref="A2:E2"/>
    <mergeCell ref="A37:E37"/>
    <mergeCell ref="A27:E27"/>
    <mergeCell ref="A13:E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workbookViewId="0">
      <pane ySplit="1" topLeftCell="A2" activePane="bottomLeft" state="frozen"/>
      <selection pane="bottomLeft" activeCell="A7" sqref="A7"/>
    </sheetView>
  </sheetViews>
  <sheetFormatPr baseColWidth="10" defaultColWidth="8.83203125" defaultRowHeight="15" x14ac:dyDescent="0.2"/>
  <cols>
    <col min="1" max="1" width="26" customWidth="1"/>
    <col min="2" max="2" width="15" customWidth="1"/>
    <col min="3" max="3" width="56" customWidth="1"/>
    <col min="4" max="4" width="22" customWidth="1"/>
    <col min="5" max="5" width="60" customWidth="1"/>
  </cols>
  <sheetData>
    <row r="1" spans="1:5" x14ac:dyDescent="0.2">
      <c r="A1" s="14" t="s">
        <v>565</v>
      </c>
      <c r="B1" s="14" t="s">
        <v>566</v>
      </c>
      <c r="C1" s="14" t="s">
        <v>567</v>
      </c>
      <c r="D1" s="14" t="s">
        <v>35</v>
      </c>
      <c r="E1" s="14" t="s">
        <v>568</v>
      </c>
    </row>
    <row r="2" spans="1:5" x14ac:dyDescent="0.2">
      <c r="A2" s="6" t="s">
        <v>569</v>
      </c>
      <c r="B2" s="6" t="s">
        <v>570</v>
      </c>
      <c r="C2" s="7" t="s">
        <v>571</v>
      </c>
      <c r="D2" s="6" t="s">
        <v>572</v>
      </c>
      <c r="E2" s="7"/>
    </row>
    <row r="3" spans="1:5" ht="28" x14ac:dyDescent="0.2">
      <c r="A3" s="8" t="s">
        <v>573</v>
      </c>
      <c r="B3" s="8" t="s">
        <v>570</v>
      </c>
      <c r="C3" s="9" t="s">
        <v>574</v>
      </c>
      <c r="D3" s="8" t="s">
        <v>572</v>
      </c>
      <c r="E3" s="9" t="s">
        <v>575</v>
      </c>
    </row>
    <row r="4" spans="1:5" x14ac:dyDescent="0.2">
      <c r="A4" s="6" t="s">
        <v>576</v>
      </c>
      <c r="B4" s="6" t="s">
        <v>570</v>
      </c>
      <c r="C4" s="7" t="s">
        <v>577</v>
      </c>
      <c r="D4" s="6" t="s">
        <v>572</v>
      </c>
      <c r="E4" s="7" t="s">
        <v>578</v>
      </c>
    </row>
    <row r="5" spans="1:5" x14ac:dyDescent="0.2">
      <c r="A5" s="8" t="s">
        <v>579</v>
      </c>
      <c r="B5" s="8" t="s">
        <v>570</v>
      </c>
      <c r="C5" s="9" t="s">
        <v>580</v>
      </c>
      <c r="D5" s="8" t="s">
        <v>581</v>
      </c>
      <c r="E5" s="9"/>
    </row>
    <row r="6" spans="1:5" x14ac:dyDescent="0.2">
      <c r="A6" s="6" t="s">
        <v>582</v>
      </c>
      <c r="B6" s="6" t="s">
        <v>570</v>
      </c>
      <c r="C6" s="7" t="s">
        <v>583</v>
      </c>
      <c r="D6" s="6" t="s">
        <v>581</v>
      </c>
      <c r="E6" s="7" t="s">
        <v>584</v>
      </c>
    </row>
    <row r="7" spans="1:5" x14ac:dyDescent="0.2">
      <c r="A7" s="8" t="s">
        <v>585</v>
      </c>
      <c r="B7" s="8" t="s">
        <v>570</v>
      </c>
      <c r="C7" s="9" t="s">
        <v>586</v>
      </c>
      <c r="D7" s="8" t="s">
        <v>587</v>
      </c>
      <c r="E7" s="9" t="s">
        <v>588</v>
      </c>
    </row>
    <row r="8" spans="1:5" x14ac:dyDescent="0.2">
      <c r="A8" s="6" t="s">
        <v>589</v>
      </c>
      <c r="B8" s="6" t="s">
        <v>570</v>
      </c>
      <c r="C8" s="7" t="s">
        <v>590</v>
      </c>
      <c r="D8" s="6" t="s">
        <v>591</v>
      </c>
      <c r="E8" s="7" t="s">
        <v>592</v>
      </c>
    </row>
    <row r="9" spans="1:5" x14ac:dyDescent="0.2">
      <c r="A9" s="8" t="s">
        <v>593</v>
      </c>
      <c r="B9" s="8" t="s">
        <v>570</v>
      </c>
      <c r="C9" s="9" t="s">
        <v>594</v>
      </c>
      <c r="D9" s="8" t="s">
        <v>595</v>
      </c>
      <c r="E9" s="9" t="s">
        <v>596</v>
      </c>
    </row>
    <row r="10" spans="1:5" x14ac:dyDescent="0.2">
      <c r="A10" s="6" t="s">
        <v>597</v>
      </c>
      <c r="B10" s="6" t="s">
        <v>570</v>
      </c>
      <c r="C10" s="7" t="s">
        <v>598</v>
      </c>
      <c r="D10" s="6" t="s">
        <v>599</v>
      </c>
      <c r="E10" s="7"/>
    </row>
    <row r="11" spans="1:5" x14ac:dyDescent="0.2">
      <c r="A11" s="8" t="s">
        <v>600</v>
      </c>
      <c r="B11" s="8" t="s">
        <v>570</v>
      </c>
      <c r="C11" s="9" t="s">
        <v>601</v>
      </c>
      <c r="D11" s="8" t="s">
        <v>602</v>
      </c>
      <c r="E11" s="9" t="s">
        <v>603</v>
      </c>
    </row>
    <row r="12" spans="1:5" x14ac:dyDescent="0.2">
      <c r="A12" s="12" t="s">
        <v>604</v>
      </c>
      <c r="B12" s="12" t="s">
        <v>605</v>
      </c>
      <c r="C12" s="13" t="s">
        <v>606</v>
      </c>
      <c r="D12" s="12" t="s">
        <v>595</v>
      </c>
      <c r="E12" s="13" t="s">
        <v>607</v>
      </c>
    </row>
    <row r="13" spans="1:5" ht="28" x14ac:dyDescent="0.2">
      <c r="A13" s="8" t="s">
        <v>608</v>
      </c>
      <c r="B13" s="8" t="s">
        <v>609</v>
      </c>
      <c r="C13" s="9" t="s">
        <v>610</v>
      </c>
      <c r="D13" s="8" t="s">
        <v>611</v>
      </c>
      <c r="E13" s="9" t="s">
        <v>612</v>
      </c>
    </row>
    <row r="14" spans="1:5" x14ac:dyDescent="0.2">
      <c r="A14" s="6" t="s">
        <v>613</v>
      </c>
      <c r="B14" s="6" t="s">
        <v>609</v>
      </c>
      <c r="C14" s="7" t="s">
        <v>614</v>
      </c>
      <c r="D14" s="6" t="s">
        <v>615</v>
      </c>
      <c r="E14" s="7" t="s">
        <v>616</v>
      </c>
    </row>
    <row r="15" spans="1:5" x14ac:dyDescent="0.2">
      <c r="A15" s="8" t="s">
        <v>617</v>
      </c>
      <c r="B15" s="8" t="s">
        <v>609</v>
      </c>
      <c r="C15" s="9" t="s">
        <v>618</v>
      </c>
      <c r="D15" s="8" t="s">
        <v>619</v>
      </c>
      <c r="E15" s="9" t="s">
        <v>620</v>
      </c>
    </row>
    <row r="16" spans="1:5" x14ac:dyDescent="0.2">
      <c r="A16" s="6" t="s">
        <v>621</v>
      </c>
      <c r="B16" s="6" t="s">
        <v>609</v>
      </c>
      <c r="C16" s="7" t="s">
        <v>622</v>
      </c>
      <c r="D16" s="6" t="s">
        <v>572</v>
      </c>
      <c r="E16" s="7" t="s">
        <v>623</v>
      </c>
    </row>
    <row r="17" spans="1:5" x14ac:dyDescent="0.2">
      <c r="A17" s="8" t="s">
        <v>624</v>
      </c>
      <c r="B17" s="8" t="s">
        <v>609</v>
      </c>
      <c r="C17" s="9" t="s">
        <v>625</v>
      </c>
      <c r="D17" s="8" t="s">
        <v>581</v>
      </c>
      <c r="E17" s="9" t="s">
        <v>626</v>
      </c>
    </row>
    <row r="18" spans="1:5" x14ac:dyDescent="0.2">
      <c r="A18" s="6" t="s">
        <v>627</v>
      </c>
      <c r="B18" s="6" t="s">
        <v>609</v>
      </c>
      <c r="C18" s="7" t="s">
        <v>628</v>
      </c>
      <c r="D18" s="6" t="s">
        <v>629</v>
      </c>
      <c r="E18" s="7" t="s">
        <v>630</v>
      </c>
    </row>
    <row r="19" spans="1:5" x14ac:dyDescent="0.2">
      <c r="A19" s="8" t="s">
        <v>631</v>
      </c>
      <c r="B19" s="8" t="s">
        <v>609</v>
      </c>
      <c r="C19" s="9" t="s">
        <v>632</v>
      </c>
      <c r="D19" s="8" t="s">
        <v>581</v>
      </c>
      <c r="E19" s="9"/>
    </row>
    <row r="20" spans="1:5" x14ac:dyDescent="0.2">
      <c r="A20" s="6" t="s">
        <v>633</v>
      </c>
      <c r="B20" s="6" t="s">
        <v>609</v>
      </c>
      <c r="C20" s="7" t="s">
        <v>634</v>
      </c>
      <c r="D20" s="6" t="s">
        <v>572</v>
      </c>
      <c r="E20" s="7"/>
    </row>
    <row r="21" spans="1:5" x14ac:dyDescent="0.2">
      <c r="A21" s="27" t="s">
        <v>635</v>
      </c>
      <c r="B21" s="27" t="s">
        <v>636</v>
      </c>
      <c r="C21" s="28" t="s">
        <v>637</v>
      </c>
      <c r="D21" s="27" t="s">
        <v>515</v>
      </c>
      <c r="E21" s="28" t="s">
        <v>638</v>
      </c>
    </row>
    <row r="22" spans="1:5" x14ac:dyDescent="0.2">
      <c r="A22" s="27" t="s">
        <v>639</v>
      </c>
      <c r="B22" s="27" t="s">
        <v>636</v>
      </c>
      <c r="C22" s="28" t="s">
        <v>640</v>
      </c>
      <c r="D22" s="27" t="s">
        <v>515</v>
      </c>
      <c r="E22" s="28" t="s">
        <v>641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All Stats</vt:lpstr>
      <vt:lpstr>Coverage</vt:lpstr>
      <vt:lpstr>Insight Formulas</vt:lpstr>
      <vt:lpstr>Data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Nate Georgy</cp:lastModifiedBy>
  <dcterms:created xsi:type="dcterms:W3CDTF">2026-09-01T17:18:38Z</dcterms:created>
  <dcterms:modified xsi:type="dcterms:W3CDTF">2026-09-07T21:33:04Z</dcterms:modified>
</cp:coreProperties>
</file>